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universityofcambridgecloud-my.sharepoint.com/personal/mav54_cam_ac_uk/Documents/Desktop/NatComm/GitHUB/Final_GitHub/"/>
    </mc:Choice>
  </mc:AlternateContent>
  <xr:revisionPtr revIDLastSave="13" documentId="13_ncr:1_{A292E620-87FA-4A35-9860-CFF17470CE6B}" xr6:coauthVersionLast="47" xr6:coauthVersionMax="47" xr10:uidLastSave="{B4238EE3-DE3C-436B-94EB-7CC71AFE6874}"/>
  <bookViews>
    <workbookView xWindow="-108" yWindow="-108" windowWidth="23256" windowHeight="13896" xr2:uid="{00000000-000D-0000-FFFF-FFFF00000000}"/>
  </bookViews>
  <sheets>
    <sheet name="Mammuthus.primigenius" sheetId="3" r:id="rId1"/>
    <sheet name="Bison.priscus" sheetId="6" r:id="rId2"/>
    <sheet name="Bos.primigenius" sheetId="7" r:id="rId3"/>
    <sheet name="Equus.hydruntinus" sheetId="4" r:id="rId4"/>
    <sheet name="Equus.ferus" sheetId="5" r:id="rId5"/>
    <sheet name="Cervus.elaphus" sheetId="8" r:id="rId6"/>
    <sheet name="Sus.scrofa" sheetId="12" r:id="rId7"/>
    <sheet name="Capreolus.capreolus" sheetId="9" r:id="rId8"/>
    <sheet name="Capra.pyrenaica" sheetId="10" r:id="rId9"/>
    <sheet name="Rupicapra.rupicapra" sheetId="11" r:id="rId10"/>
    <sheet name="Oryctolagus" sheetId="13" r:id="rId11"/>
    <sheet name="Lepus.granatensis" sheetId="24" r:id="rId12"/>
    <sheet name="Fauna_Padul_Pleistocene" sheetId="19" r:id="rId13"/>
    <sheet name="Fauna_Padul_Holocene" sheetId="20" r:id="rId14"/>
    <sheet name="Actual_Pleistocene" sheetId="1" r:id="rId15"/>
    <sheet name="Actual_Holocene" sheetId="14" r:id="rId16"/>
    <sheet name="Biomass" sheetId="21" r:id="rId17"/>
    <sheet name="Summary_Biomass" sheetId="22" r:id="rId18"/>
    <sheet name="Carnivores_CC" sheetId="29" r:id="rId19"/>
  </sheets>
  <definedNames>
    <definedName name="_xlnm._FilterDatabase" localSheetId="16" hidden="1">Biomass!$A$1:$H$85</definedName>
    <definedName name="_xlnm._FilterDatabase" localSheetId="18" hidden="1">Carnivores_CC!$A$1:$G$305</definedName>
    <definedName name="_xlnm._FilterDatabase" localSheetId="17" hidden="1">Summary_Biomass!$A$1:$K$9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13" l="1"/>
  <c r="I5" i="13"/>
  <c r="H2" i="4"/>
  <c r="J2" i="7"/>
  <c r="H2" i="7"/>
  <c r="G2" i="7"/>
  <c r="J2" i="6"/>
  <c r="H2" i="6"/>
  <c r="G2" i="6"/>
</calcChain>
</file>

<file path=xl/sharedStrings.xml><?xml version="1.0" encoding="utf-8"?>
<sst xmlns="http://schemas.openxmlformats.org/spreadsheetml/2006/main" count="2327" uniqueCount="145">
  <si>
    <t>Primary_Consumers</t>
  </si>
  <si>
    <t>BM_pc</t>
  </si>
  <si>
    <t>Gravettian_act</t>
  </si>
  <si>
    <t>Solutrean_act</t>
  </si>
  <si>
    <t>Epipaleolithic_act</t>
  </si>
  <si>
    <t>Oryctolagus</t>
  </si>
  <si>
    <t>Sp</t>
  </si>
  <si>
    <t>Species</t>
  </si>
  <si>
    <t>Age</t>
  </si>
  <si>
    <t>Weight</t>
  </si>
  <si>
    <t>Fecundity</t>
  </si>
  <si>
    <t>Breeding interval (BI)</t>
  </si>
  <si>
    <t>Reproductive maturity (Rm)</t>
  </si>
  <si>
    <t>Litter size (Lt)</t>
  </si>
  <si>
    <t>Weight at birth (Wb)</t>
  </si>
  <si>
    <t>Ref</t>
  </si>
  <si>
    <t>Mammuthus.primigenius</t>
  </si>
  <si>
    <t>Rodríguez-Gómez et al. 2013</t>
  </si>
  <si>
    <t>AdultBodyMass (kg)</t>
  </si>
  <si>
    <t>NeonateBodyMass (g)</t>
  </si>
  <si>
    <t>AgeatFirstBirth (d)</t>
  </si>
  <si>
    <t>LitterSize</t>
  </si>
  <si>
    <t>LittersPerYear</t>
  </si>
  <si>
    <t>Longevity (m)</t>
  </si>
  <si>
    <t>Reference</t>
  </si>
  <si>
    <t>Rodríguez-Gómez G, Rodríguez  J, Martín-González  JA, Mateos A (2017) Evaluating the impact of Homo-carnivore competition in European human settlements during the Early to Middle Pleistocene. Quaternary Research 88(1):129-151</t>
  </si>
  <si>
    <t xml:space="preserve"> </t>
  </si>
  <si>
    <t>BM</t>
  </si>
  <si>
    <t>BI</t>
  </si>
  <si>
    <t>Rm</t>
  </si>
  <si>
    <t>Lt</t>
  </si>
  <si>
    <t>Wb</t>
  </si>
  <si>
    <t>Bison.priscus</t>
  </si>
  <si>
    <t>Bos.primigenius</t>
  </si>
  <si>
    <t>Longev</t>
  </si>
  <si>
    <t>Equus.hydruntinus</t>
  </si>
  <si>
    <t>Anage</t>
  </si>
  <si>
    <t>Equus.ferus</t>
  </si>
  <si>
    <t>Cervus.elaphus</t>
  </si>
  <si>
    <t>Jones KE, Bielby J, Cardillo M, Fritz SA, O'Dell J, Orme CDL, Safi K, Sechrest W, Boakes EH, Carbone C, Connolly C, Cutts MJ, Foster JK, Grenyer R, Habib M, Plaster CA, Price SA, Rigby EA, Rist J, Teacher A, Bininda-Emonds ORP, Gittleman JL, Mace GM, Purvis A (2009) PanTHERIA: a species-level database of life history, ecology, and geography of extant and recently extinct mammals. Ecology 90(9):2648</t>
  </si>
  <si>
    <t>Sus.scrofa</t>
  </si>
  <si>
    <t>Rodríguez Gómez 2013</t>
  </si>
  <si>
    <t>Capra.pyrenaica</t>
  </si>
  <si>
    <t>Rupicapra.rupicapra</t>
  </si>
  <si>
    <t>Capreolus.capreolus</t>
  </si>
  <si>
    <t>Oryctolagus.coniculus</t>
  </si>
  <si>
    <t>Magdalenian_act</t>
  </si>
  <si>
    <t>Culture</t>
  </si>
  <si>
    <t>NPP_act</t>
  </si>
  <si>
    <t>SD_act</t>
  </si>
  <si>
    <t>Mammuthus primigenius</t>
  </si>
  <si>
    <t>Equus hydruntinus</t>
  </si>
  <si>
    <t>Gravettian</t>
  </si>
  <si>
    <t>Equus ferus</t>
  </si>
  <si>
    <t>Solutrean</t>
  </si>
  <si>
    <t>Bison priscus</t>
  </si>
  <si>
    <t>Magdalenian</t>
  </si>
  <si>
    <t>Bos primigenius</t>
  </si>
  <si>
    <t>Epipaleolithic</t>
  </si>
  <si>
    <t>Cervus elaphus</t>
  </si>
  <si>
    <t>Capreolus capreolus</t>
  </si>
  <si>
    <t>Capra pyrenaica</t>
  </si>
  <si>
    <t>Rupicapra rupicapra</t>
  </si>
  <si>
    <t xml:space="preserve">Sus scrofa </t>
  </si>
  <si>
    <t>Composition</t>
  </si>
  <si>
    <t>Chron</t>
  </si>
  <si>
    <t>Small_Biomass</t>
  </si>
  <si>
    <t>Medium_Biomass</t>
  </si>
  <si>
    <t>MediumLarge_Biomass</t>
  </si>
  <si>
    <t>Large_Biomass</t>
  </si>
  <si>
    <t>Small_mean</t>
  </si>
  <si>
    <t>Small_sd</t>
  </si>
  <si>
    <t>Medium_mean</t>
  </si>
  <si>
    <t>Medium_sd</t>
  </si>
  <si>
    <t>MediumLarge_mean</t>
  </si>
  <si>
    <t>MediumLarge_sd</t>
  </si>
  <si>
    <t>Large_mean</t>
  </si>
  <si>
    <t>Large_sd</t>
  </si>
  <si>
    <t>CC</t>
  </si>
  <si>
    <t>Homo.sapiens</t>
  </si>
  <si>
    <t>Ursus arctos</t>
  </si>
  <si>
    <t>Crocuta</t>
  </si>
  <si>
    <t>Cortés-Sánchez, M., Riquelme-Cantal, J. A., Simón-Vallejo, M. D., Parrilla Giráldez, R., Odriozola, C. P., Calle Román, L., ... &amp; Cantero-Chinchilla, F. N. (2018). Pre-solutrean rock art in southernmost Europe: evidence from las Ventanas cave (Andalusia, Spain). PLoS One, 13(10), e0204651.</t>
  </si>
  <si>
    <t>Álvarez-Lao, D. J., Kahlke, R. D., García, N., &amp; Mol, D. (2009). The Padul mammoth finds—On the southernmost record of Mammuthus primigenius in Europe and its southern spread during the Late Pleistocene. Palaeogeography, Palaeoclimatology, Palaeoecology, 278(1-4), 57-70.</t>
  </si>
  <si>
    <t>2,3</t>
  </si>
  <si>
    <t>Panthera pardus</t>
  </si>
  <si>
    <t>Lynx p.</t>
  </si>
  <si>
    <t>Felis silv.</t>
  </si>
  <si>
    <t>Cuon alp.</t>
  </si>
  <si>
    <t>Vulpes vu.</t>
  </si>
  <si>
    <t>Bohórquez, A. M., Ruiz, C. B., Caparrós, M., &amp; Moigne, A. M. (2012). Una aproximación a la comprensión de la fauna de macromamíferos de la cueva de Zafarraya:(Alcaucín, Málaga). Menga: Revista de prehistoria de Andalucía, (3), 83-105.</t>
  </si>
  <si>
    <t>Canis l.</t>
  </si>
  <si>
    <t>de los Terreros, J. Y. S. (2008). Especificación y estacionalidad en el Paleolítico Superior de La Cueva de Ambrosio. Espacio Tiempo y Forma. Serie I, Prehistoria y Arqueología, (1).; López, S. R., Muñoz Ibañez, F. J., &amp; Lerma, I. M. (2015). The Solutrean Site of Ambrosio Cave (Almería, Spain) New Perspectives from Andalucia. Journal of Anthropological Research, 71(4), 509-522.</t>
  </si>
  <si>
    <t>Tortosa, J. A., Pardo, J. J., Ripoll, M. P., Garcı́a, M. R., Garcı́a, E. B., &amp; Calatayud, P. G. (2002). The far south: the Pleistocene–Holocene transition in Nerja Cave (Andalucıa, Spain). Quaternary International, 93, 19-30.</t>
  </si>
  <si>
    <t>Martes m</t>
  </si>
  <si>
    <t>Meles meles</t>
  </si>
  <si>
    <t>3;4;5;6</t>
  </si>
  <si>
    <t>Cortes-Sanchez, M., Morales-Muniz, A., Simon-Vallejo, M. D., Bergadà-Zapata, M. M., Delgado-Huertas, A., Lopez-Garcia, P., ... &amp; Vera-Pelaez, J. L. (2008). Palaeoenvironmental and cultural dynamics of the coast of Málaga (Andalusia, Spain) during the Upper Pleistocene and early Holocene. Quaternary Science Reviews, 27(23-24), 2176-2193.</t>
  </si>
  <si>
    <t>4;5;6;7</t>
  </si>
  <si>
    <t>2;5;6;7</t>
  </si>
  <si>
    <t>Ramos-Muñoz, J., Cantalejo, P., Blumenröther, J., Bolin, V., Otto, T., Rotgänger, M., ... &amp; Weniger, G. C. (2022). The nature and chronology of human occupation at the Galerías Bajas, from Cueva de Ardales, Malaga, Spain. PLoS One, 17(6), e0266788.</t>
  </si>
  <si>
    <t>Cabello, L., Cantalejo Duarte, P., Cantalejo, P., Buendía Moreno, A. F., Fernández, J. M., González Ríos, M., ... &amp; Vijande Vila, E. (2020). New archaeological data on the upper Paleolithic site of cueva de Malalmuerzo (Moclín, Granada, Spain).</t>
  </si>
  <si>
    <t>Naito, Y. I., Belmaker, M., Jimenez Espejo, F. J., Simón-Vallejo, M. D., Riquelme Cantal, J. A., Parrilla Giráldez, R., &amp; Cortés-Sánchez, M. (2022). Evidence for Marine Consumption During the Upper Palaeolithic at “El Pirulejo” Inland Rock-Shelter (Southern Iberia Peninsula, Spain).</t>
  </si>
  <si>
    <t>3;4;6;10</t>
  </si>
  <si>
    <t>3;4;5;6;10</t>
  </si>
  <si>
    <t>3;4;5;6;9;10</t>
  </si>
  <si>
    <t>3;4;5;6;7;9;10</t>
  </si>
  <si>
    <t>Álvarez-Fernández, E., Tortosa, J. E. A., Pardo, J. F. J., Palomero-Jiménez, I., Aparicio, M. T., Cabello-Ligero, L., ... &amp; Pérez-Ripoll, M. (2022). Maritime-oriented foragers during the Late Pleistocene on the eastern costa del sol (Southeast Iberia): Cueva Victoria (Málaga, Spain). Heliyon, 8(6).</t>
  </si>
  <si>
    <t>P/H</t>
  </si>
  <si>
    <t>P</t>
  </si>
  <si>
    <t>P-H</t>
  </si>
  <si>
    <t>Justification</t>
  </si>
  <si>
    <t>Lepus granatensis</t>
  </si>
  <si>
    <t>H</t>
  </si>
  <si>
    <t>4;5;6;8;9;10;11</t>
  </si>
  <si>
    <t>3;11</t>
  </si>
  <si>
    <t>3;4;5;6;8;10;11</t>
  </si>
  <si>
    <t>3;4;5;6;7;8;10;11</t>
  </si>
  <si>
    <t>3;4;9;10;11</t>
  </si>
  <si>
    <t>Cortés-Sánchez, M., Román, L. C., Simón-Vallejo, M. D., Lozano-Francisco, M. D. C., Cantal, J. R., Vera-Peláez, J. L., ... &amp; Tejada, S. M. (2020). On the shore of Mediterranean sea. The end of the palaeolithic on the coast of Málaga (South of Spain). Quaternary International, 564, 94-99.</t>
  </si>
  <si>
    <t>Neolithic</t>
  </si>
  <si>
    <t>3;12</t>
  </si>
  <si>
    <t>Strani, F., &amp; DeMiguel, D. (2023). The role of climate change in the extinction of the last wild equids of Europe: Palaeoecology of Equus ferus and Equus hydruntinus during the Last Glacial Period. Palaeogeography, Palaeoclimatology, Palaeoecology, 620, 111564.</t>
  </si>
  <si>
    <t>Lepus.granatensis</t>
  </si>
  <si>
    <t>Farfán, M. A., Vargas, J. M., Real, R., Palomo, L. J., &amp; Duarte, J. (2004). Population parameters and reproductive biology of the Iberian hare Lepus granatensis in southern Iberia. Acta Theriologica, 49(3), 319-335.; Phylacine</t>
  </si>
  <si>
    <t>Fernandez, A., Soriguer, R., Castien, E., &amp; Carro, F. (2008). Reproduction parameters of the Iberian hare Lepus granatensis at the edge of its range. Wildlife Biology, 14(4), 434-443.; Jones KE, Bielby J, Cardillo M, Fritz SA, O'Dell J, Orme CDL, Safi K, Sechrest W, Boakes EH, Carbone C, Connolly C, Cutts MJ, Foster JK, Grenyer R, Habib M, Plaster CA, Price SA, Rigby EA, Rist J, Teacher A, Bininda-Emonds ORP, Gittleman JL, Mace GM, Purvis A (2009) PanTHERIA: a species-level database of life history, ecology, and geography of extant and recently extinct mammals. Ecology 90(9):2648</t>
  </si>
  <si>
    <t>Pleistocene</t>
  </si>
  <si>
    <t>Holocene</t>
  </si>
  <si>
    <t>NPP</t>
  </si>
  <si>
    <t>brGDGT</t>
  </si>
  <si>
    <t>Paleocommunity</t>
  </si>
  <si>
    <t>Human_Diet</t>
  </si>
  <si>
    <t>BiomassAvailable</t>
  </si>
  <si>
    <t>Canis.lupus</t>
  </si>
  <si>
    <t>Felis.silvestris</t>
  </si>
  <si>
    <t>Lynx.pardinus</t>
  </si>
  <si>
    <t>Martes.martes</t>
  </si>
  <si>
    <t>Meles.meles</t>
  </si>
  <si>
    <t>Ursus.arctos</t>
  </si>
  <si>
    <t>Vulpes.vulpes</t>
  </si>
  <si>
    <t>Crocuta.crocuta</t>
  </si>
  <si>
    <t>Cuon.alpinus</t>
  </si>
  <si>
    <t>Panthera.pardus</t>
  </si>
  <si>
    <t>Climate</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</si>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</sst>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 fontId="0" fillId="0" borderId="0" xfId="0" applyNumberFormat="1"/>
    <xf numFmtId="2" fontId="0" fillId="0" borderId="0" xfId="0" applyNumberFormat="1"/>
    <xf numFmtId="164" fontId="0" fillId="0" borderId="0" xfId="0" applyNumberFormat="1"/>
    <xf numFmtId="1" fontId="0" fillId="0" borderId="0" xfId="0" applyNumberFormat="1" applyAlignment="1">
      <alignment horizontal="right"/>
    </xf>
    <xf numFmtId="2" fontId="1" fillId="0" borderId="0" xfId="0" applyNumberFormat="1" applyFont="1"/>
    <xf numFmtId="1" fontId="0" fillId="0" borderId="0" xfId="0" applyNumberFormat="1" applyAlignment="1">
      <alignment vertical="center"/>
    </xf>
    <xf numFmtId="165" fontId="0" fillId="0" borderId="0" xfId="0" applyNumberFormat="1"/>
    <xf numFmtId="0" fontId="0" fillId="0" borderId="0" xfId="0" applyAlignment="1">
      <alignment horizontal="right" vertical="center"/>
    </xf>
    <xf numFmtId="1" fontId="0" fillId="0" borderId="0" xfId="0" applyNumberFormat="1" applyAlignment="1">
      <alignment horizontal="right" vertical="center"/>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6"/>
  <sheetViews>
    <sheetView tabSelected="1" workbookViewId="0">
      <selection activeCell="H15" sqref="H15"/>
    </sheetView>
  </sheetViews>
  <sheetFormatPr defaultColWidth="11.44140625" defaultRowHeight="14.4" x14ac:dyDescent="0.3"/>
  <cols>
    <col min="2" max="2" width="29.33203125" customWidth="1"/>
  </cols>
  <sheetData>
    <row r="1" spans="1:13" x14ac:dyDescent="0.3">
      <c r="A1" t="s">
        <v>6</v>
      </c>
      <c r="B1" t="s">
        <v>7</v>
      </c>
      <c r="C1" t="s">
        <v>8</v>
      </c>
      <c r="D1" t="s">
        <v>9</v>
      </c>
      <c r="E1" t="s">
        <v>10</v>
      </c>
      <c r="G1" t="s">
        <v>11</v>
      </c>
      <c r="H1" t="s">
        <v>12</v>
      </c>
      <c r="I1" t="s">
        <v>13</v>
      </c>
      <c r="J1" t="s">
        <v>14</v>
      </c>
      <c r="K1" t="s">
        <v>15</v>
      </c>
    </row>
    <row r="2" spans="1:13" x14ac:dyDescent="0.3">
      <c r="A2" t="s">
        <v>16</v>
      </c>
      <c r="B2" t="s">
        <v>16</v>
      </c>
      <c r="C2">
        <v>1</v>
      </c>
      <c r="D2" s="1">
        <v>250.76059371284393</v>
      </c>
      <c r="E2" s="2">
        <v>0</v>
      </c>
      <c r="G2">
        <v>4.88</v>
      </c>
      <c r="H2">
        <v>15</v>
      </c>
      <c r="I2">
        <v>1</v>
      </c>
      <c r="J2">
        <v>110</v>
      </c>
      <c r="K2" t="s">
        <v>17</v>
      </c>
    </row>
    <row r="3" spans="1:13" x14ac:dyDescent="0.3">
      <c r="B3" t="s">
        <v>16</v>
      </c>
      <c r="C3">
        <v>2</v>
      </c>
      <c r="D3" s="1">
        <v>699.25373208396115</v>
      </c>
      <c r="E3" s="2">
        <v>0</v>
      </c>
    </row>
    <row r="4" spans="1:13" x14ac:dyDescent="0.3">
      <c r="B4" t="s">
        <v>16</v>
      </c>
      <c r="C4">
        <v>3</v>
      </c>
      <c r="D4" s="1">
        <v>1412.8042909207843</v>
      </c>
      <c r="E4" s="2">
        <v>0</v>
      </c>
      <c r="G4" t="s">
        <v>18</v>
      </c>
      <c r="H4" t="s">
        <v>19</v>
      </c>
      <c r="I4" t="s">
        <v>20</v>
      </c>
      <c r="J4" t="s">
        <v>21</v>
      </c>
      <c r="K4" t="s">
        <v>22</v>
      </c>
      <c r="L4" t="s">
        <v>23</v>
      </c>
      <c r="M4" t="s">
        <v>24</v>
      </c>
    </row>
    <row r="5" spans="1:13" x14ac:dyDescent="0.3">
      <c r="B5" t="s">
        <v>16</v>
      </c>
      <c r="C5">
        <v>4</v>
      </c>
      <c r="D5" s="1">
        <v>2278.3629956479053</v>
      </c>
      <c r="E5" s="2">
        <v>0</v>
      </c>
      <c r="G5" s="1">
        <v>6000</v>
      </c>
      <c r="H5" s="3">
        <v>101</v>
      </c>
      <c r="I5">
        <v>11.25</v>
      </c>
      <c r="J5">
        <v>1.1299999999999999</v>
      </c>
      <c r="K5" s="2">
        <v>0.24242424242424243</v>
      </c>
      <c r="L5">
        <v>65</v>
      </c>
      <c r="M5" t="s">
        <v>25</v>
      </c>
    </row>
    <row r="6" spans="1:13" x14ac:dyDescent="0.3">
      <c r="B6" t="s">
        <v>16</v>
      </c>
      <c r="C6">
        <v>5</v>
      </c>
      <c r="D6" s="1">
        <v>3144.4256900695209</v>
      </c>
      <c r="E6" s="2">
        <v>0</v>
      </c>
    </row>
    <row r="7" spans="1:13" x14ac:dyDescent="0.3">
      <c r="B7" t="s">
        <v>16</v>
      </c>
      <c r="C7">
        <v>6</v>
      </c>
      <c r="D7" s="1">
        <v>3902.4575472983529</v>
      </c>
      <c r="E7" s="2">
        <v>0</v>
      </c>
    </row>
    <row r="8" spans="1:13" x14ac:dyDescent="0.3">
      <c r="B8" t="s">
        <v>16</v>
      </c>
      <c r="C8">
        <v>7</v>
      </c>
      <c r="D8" s="1">
        <v>4507.8978369666138</v>
      </c>
      <c r="E8" s="2">
        <v>0</v>
      </c>
    </row>
    <row r="9" spans="1:13" x14ac:dyDescent="0.3">
      <c r="B9" t="s">
        <v>16</v>
      </c>
      <c r="C9">
        <v>8</v>
      </c>
      <c r="D9" s="1">
        <v>4962.418274616547</v>
      </c>
      <c r="E9" s="2">
        <v>0</v>
      </c>
    </row>
    <row r="10" spans="1:13" x14ac:dyDescent="0.3">
      <c r="B10" t="s">
        <v>16</v>
      </c>
      <c r="C10">
        <v>9</v>
      </c>
      <c r="D10" s="1">
        <v>5289.7295821745674</v>
      </c>
      <c r="E10" s="2">
        <v>0</v>
      </c>
    </row>
    <row r="11" spans="1:13" x14ac:dyDescent="0.3">
      <c r="B11" t="s">
        <v>16</v>
      </c>
      <c r="C11">
        <v>10</v>
      </c>
      <c r="D11" s="1">
        <v>5518.9650525124998</v>
      </c>
      <c r="E11" s="2">
        <v>0</v>
      </c>
    </row>
    <row r="12" spans="1:13" x14ac:dyDescent="0.3">
      <c r="B12" t="s">
        <v>16</v>
      </c>
      <c r="C12">
        <v>11</v>
      </c>
      <c r="D12" s="1">
        <v>5676.560920240644</v>
      </c>
      <c r="E12" s="2">
        <v>0</v>
      </c>
      <c r="I12" t="s">
        <v>26</v>
      </c>
    </row>
    <row r="13" spans="1:13" x14ac:dyDescent="0.3">
      <c r="B13" t="s">
        <v>16</v>
      </c>
      <c r="C13">
        <v>12</v>
      </c>
      <c r="D13" s="1">
        <v>5783.5764649273096</v>
      </c>
      <c r="E13" s="2">
        <v>0.10272727272727272</v>
      </c>
    </row>
    <row r="14" spans="1:13" x14ac:dyDescent="0.3">
      <c r="B14" t="s">
        <v>16</v>
      </c>
      <c r="C14">
        <v>13</v>
      </c>
      <c r="D14" s="1">
        <v>5855.6518434683157</v>
      </c>
      <c r="E14" s="2">
        <v>0.13696969696969696</v>
      </c>
    </row>
    <row r="15" spans="1:13" x14ac:dyDescent="0.3">
      <c r="B15" t="s">
        <v>16</v>
      </c>
      <c r="C15">
        <v>14</v>
      </c>
      <c r="D15" s="1">
        <v>5957.6098669275125</v>
      </c>
      <c r="E15" s="2">
        <v>0.13696969696969696</v>
      </c>
    </row>
    <row r="16" spans="1:13" x14ac:dyDescent="0.3">
      <c r="B16" t="s">
        <v>16</v>
      </c>
      <c r="C16">
        <v>15</v>
      </c>
      <c r="D16" s="1">
        <v>5971.8728922680484</v>
      </c>
      <c r="E16" s="2">
        <v>0.13696969696969696</v>
      </c>
    </row>
    <row r="17" spans="2:5" x14ac:dyDescent="0.3">
      <c r="B17" t="s">
        <v>16</v>
      </c>
      <c r="C17">
        <v>16</v>
      </c>
      <c r="D17" s="1">
        <v>5981.3446527534616</v>
      </c>
      <c r="E17" s="2">
        <v>0.13696969696969696</v>
      </c>
    </row>
    <row r="18" spans="2:5" x14ac:dyDescent="0.3">
      <c r="B18" t="s">
        <v>16</v>
      </c>
      <c r="C18">
        <v>17</v>
      </c>
      <c r="D18" s="1">
        <v>5987.6302511363228</v>
      </c>
      <c r="E18" s="2">
        <v>0.13696969696969696</v>
      </c>
    </row>
    <row r="19" spans="2:5" x14ac:dyDescent="0.3">
      <c r="B19" t="s">
        <v>16</v>
      </c>
      <c r="C19">
        <v>18</v>
      </c>
      <c r="D19" s="1">
        <v>5991.7995366122796</v>
      </c>
      <c r="E19" s="2">
        <v>0.13696969696969696</v>
      </c>
    </row>
    <row r="20" spans="2:5" x14ac:dyDescent="0.3">
      <c r="B20" t="s">
        <v>16</v>
      </c>
      <c r="C20">
        <v>19</v>
      </c>
      <c r="D20" s="1">
        <v>5994.5642077332177</v>
      </c>
      <c r="E20" s="2">
        <v>0.13696969696969696</v>
      </c>
    </row>
    <row r="21" spans="2:5" x14ac:dyDescent="0.3">
      <c r="B21" t="s">
        <v>16</v>
      </c>
      <c r="C21">
        <v>20</v>
      </c>
      <c r="D21" s="1">
        <v>5996.3971005409039</v>
      </c>
      <c r="E21" s="2">
        <v>0.13696969696969696</v>
      </c>
    </row>
    <row r="22" spans="2:5" x14ac:dyDescent="0.3">
      <c r="B22" t="s">
        <v>16</v>
      </c>
      <c r="C22">
        <v>21</v>
      </c>
      <c r="D22" s="1">
        <v>5997.6120890496559</v>
      </c>
      <c r="E22" s="2">
        <v>0.13696969696969696</v>
      </c>
    </row>
    <row r="23" spans="2:5" x14ac:dyDescent="0.3">
      <c r="B23" t="s">
        <v>16</v>
      </c>
      <c r="C23">
        <v>22</v>
      </c>
      <c r="D23" s="1">
        <v>5998.4174091013019</v>
      </c>
      <c r="E23" s="2">
        <v>0.13696969696969696</v>
      </c>
    </row>
    <row r="24" spans="2:5" x14ac:dyDescent="0.3">
      <c r="B24" t="s">
        <v>16</v>
      </c>
      <c r="C24">
        <v>23</v>
      </c>
      <c r="D24" s="1">
        <v>5998.9511606735723</v>
      </c>
      <c r="E24" s="2">
        <v>0.13696969696969696</v>
      </c>
    </row>
    <row r="25" spans="2:5" x14ac:dyDescent="0.3">
      <c r="B25" t="s">
        <v>16</v>
      </c>
      <c r="C25">
        <v>24</v>
      </c>
      <c r="D25" s="1">
        <v>5999.3049077004162</v>
      </c>
      <c r="E25" s="2">
        <v>0.13696969696969696</v>
      </c>
    </row>
    <row r="26" spans="2:5" x14ac:dyDescent="0.3">
      <c r="B26" t="s">
        <v>16</v>
      </c>
      <c r="C26">
        <v>25</v>
      </c>
      <c r="D26" s="1">
        <v>5999.5393495547478</v>
      </c>
      <c r="E26" s="2">
        <v>0.13696969696969696</v>
      </c>
    </row>
    <row r="27" spans="2:5" x14ac:dyDescent="0.3">
      <c r="B27" t="s">
        <v>16</v>
      </c>
      <c r="C27">
        <v>26</v>
      </c>
      <c r="D27" s="1">
        <v>5999.6947205761317</v>
      </c>
      <c r="E27" s="2">
        <v>0.13696969696969696</v>
      </c>
    </row>
    <row r="28" spans="2:5" x14ac:dyDescent="0.3">
      <c r="B28" t="s">
        <v>16</v>
      </c>
      <c r="C28">
        <v>27</v>
      </c>
      <c r="D28" s="1">
        <v>5999.7976880217284</v>
      </c>
      <c r="E28" s="2">
        <v>0.13696969696969696</v>
      </c>
    </row>
    <row r="29" spans="2:5" x14ac:dyDescent="0.3">
      <c r="B29" t="s">
        <v>16</v>
      </c>
      <c r="C29">
        <v>28</v>
      </c>
      <c r="D29" s="1">
        <v>5999.8659260663726</v>
      </c>
      <c r="E29" s="2">
        <v>0.13696969696969696</v>
      </c>
    </row>
    <row r="30" spans="2:5" x14ac:dyDescent="0.3">
      <c r="B30" t="s">
        <v>16</v>
      </c>
      <c r="C30">
        <v>29</v>
      </c>
      <c r="D30" s="1">
        <v>5999.9111481982709</v>
      </c>
      <c r="E30" s="2">
        <v>0.13696969696969696</v>
      </c>
    </row>
    <row r="31" spans="2:5" x14ac:dyDescent="0.3">
      <c r="B31" t="s">
        <v>16</v>
      </c>
      <c r="C31">
        <v>30</v>
      </c>
      <c r="D31" s="1">
        <v>5999.9411173222952</v>
      </c>
      <c r="E31" s="2">
        <v>0.13696969696969696</v>
      </c>
    </row>
    <row r="32" spans="2:5" x14ac:dyDescent="0.3">
      <c r="B32" t="s">
        <v>16</v>
      </c>
      <c r="C32">
        <v>31</v>
      </c>
      <c r="D32" s="1">
        <v>5999.9609780935734</v>
      </c>
      <c r="E32" s="2">
        <v>0.13696969696969696</v>
      </c>
    </row>
    <row r="33" spans="2:5" x14ac:dyDescent="0.3">
      <c r="B33" t="s">
        <v>16</v>
      </c>
      <c r="C33">
        <v>32</v>
      </c>
      <c r="D33" s="1">
        <v>5999.9741399617769</v>
      </c>
      <c r="E33" s="2">
        <v>0.13696969696969696</v>
      </c>
    </row>
    <row r="34" spans="2:5" x14ac:dyDescent="0.3">
      <c r="B34" t="s">
        <v>16</v>
      </c>
      <c r="C34">
        <v>33</v>
      </c>
      <c r="D34" s="1">
        <v>5999.9828624129232</v>
      </c>
      <c r="E34" s="2">
        <v>0.13696969696969696</v>
      </c>
    </row>
    <row r="35" spans="2:5" x14ac:dyDescent="0.3">
      <c r="B35" t="s">
        <v>16</v>
      </c>
      <c r="C35">
        <v>34</v>
      </c>
      <c r="D35" s="1">
        <v>5999.9886428313312</v>
      </c>
      <c r="E35" s="2">
        <v>0.13696969696969696</v>
      </c>
    </row>
    <row r="36" spans="2:5" x14ac:dyDescent="0.3">
      <c r="B36" t="s">
        <v>16</v>
      </c>
      <c r="C36">
        <v>35</v>
      </c>
      <c r="D36" s="1">
        <v>5999.9924735461436</v>
      </c>
      <c r="E36" s="2">
        <v>0.13696969696969696</v>
      </c>
    </row>
    <row r="37" spans="2:5" x14ac:dyDescent="0.3">
      <c r="B37" t="s">
        <v>16</v>
      </c>
      <c r="C37">
        <v>36</v>
      </c>
      <c r="D37" s="1">
        <v>5999.9950121810334</v>
      </c>
      <c r="E37" s="2">
        <v>0.13696969696969696</v>
      </c>
    </row>
    <row r="38" spans="2:5" x14ac:dyDescent="0.3">
      <c r="B38" t="s">
        <v>16</v>
      </c>
      <c r="C38">
        <v>37</v>
      </c>
      <c r="D38" s="1">
        <v>5999.9966945474353</v>
      </c>
      <c r="E38" s="2">
        <v>0.13696969696969696</v>
      </c>
    </row>
    <row r="39" spans="2:5" x14ac:dyDescent="0.3">
      <c r="B39" t="s">
        <v>16</v>
      </c>
      <c r="C39">
        <v>38</v>
      </c>
      <c r="D39" s="1">
        <v>5999.9978094601684</v>
      </c>
      <c r="E39" s="2">
        <v>0.13696969696969696</v>
      </c>
    </row>
    <row r="40" spans="2:5" x14ac:dyDescent="0.3">
      <c r="B40" t="s">
        <v>16</v>
      </c>
      <c r="C40">
        <v>39</v>
      </c>
      <c r="D40" s="1">
        <v>5999.9985483184219</v>
      </c>
      <c r="E40" s="2">
        <v>0.13696969696969696</v>
      </c>
    </row>
    <row r="41" spans="2:5" x14ac:dyDescent="0.3">
      <c r="B41" t="s">
        <v>16</v>
      </c>
      <c r="C41">
        <v>40</v>
      </c>
      <c r="D41" s="1">
        <v>5999.999037963461</v>
      </c>
      <c r="E41" s="2">
        <v>0.13696969696969696</v>
      </c>
    </row>
    <row r="42" spans="2:5" x14ac:dyDescent="0.3">
      <c r="B42" t="s">
        <v>16</v>
      </c>
      <c r="C42">
        <v>41</v>
      </c>
      <c r="D42" s="1">
        <v>5999.999362453651</v>
      </c>
      <c r="E42" s="2">
        <v>0.13696969696969696</v>
      </c>
    </row>
    <row r="43" spans="2:5" x14ac:dyDescent="0.3">
      <c r="B43" t="s">
        <v>16</v>
      </c>
      <c r="C43">
        <v>42</v>
      </c>
      <c r="D43" s="1">
        <v>5999.9995774949002</v>
      </c>
      <c r="E43" s="2">
        <v>0.13696969696969696</v>
      </c>
    </row>
    <row r="44" spans="2:5" x14ac:dyDescent="0.3">
      <c r="B44" t="s">
        <v>16</v>
      </c>
      <c r="C44">
        <v>43</v>
      </c>
      <c r="D44" s="1">
        <v>5999.9997200037969</v>
      </c>
      <c r="E44" s="2">
        <v>0.13696969696969696</v>
      </c>
    </row>
    <row r="45" spans="2:5" x14ac:dyDescent="0.3">
      <c r="B45" t="s">
        <v>16</v>
      </c>
      <c r="C45">
        <v>44</v>
      </c>
      <c r="D45" s="1">
        <v>5999.999814445142</v>
      </c>
      <c r="E45" s="2">
        <v>0.13696969696969696</v>
      </c>
    </row>
    <row r="46" spans="2:5" x14ac:dyDescent="0.3">
      <c r="B46" t="s">
        <v>16</v>
      </c>
      <c r="C46">
        <v>45</v>
      </c>
      <c r="D46" s="1">
        <v>5999.9998770318853</v>
      </c>
      <c r="E46" s="2">
        <v>0.13696969696969696</v>
      </c>
    </row>
    <row r="47" spans="2:5" x14ac:dyDescent="0.3">
      <c r="B47" t="s">
        <v>16</v>
      </c>
      <c r="C47">
        <v>46</v>
      </c>
      <c r="D47" s="1">
        <v>5999.9999185084271</v>
      </c>
      <c r="E47" s="2">
        <v>0.13696969696969696</v>
      </c>
    </row>
    <row r="48" spans="2:5" x14ac:dyDescent="0.3">
      <c r="B48" t="s">
        <v>16</v>
      </c>
      <c r="C48">
        <v>47</v>
      </c>
      <c r="D48" s="1">
        <v>5999.999945995135</v>
      </c>
      <c r="E48" s="2">
        <v>0.13696969696969696</v>
      </c>
    </row>
    <row r="49" spans="2:5" x14ac:dyDescent="0.3">
      <c r="B49" t="s">
        <v>16</v>
      </c>
      <c r="C49">
        <v>48</v>
      </c>
      <c r="D49" s="1">
        <v>5999.9999642107114</v>
      </c>
      <c r="E49" s="2">
        <v>0.13696969696969696</v>
      </c>
    </row>
    <row r="50" spans="2:5" x14ac:dyDescent="0.3">
      <c r="B50" t="s">
        <v>16</v>
      </c>
      <c r="C50">
        <v>49</v>
      </c>
      <c r="D50" s="1">
        <v>5999.9999762822636</v>
      </c>
      <c r="E50" s="2">
        <v>0.13696969696969696</v>
      </c>
    </row>
    <row r="51" spans="2:5" x14ac:dyDescent="0.3">
      <c r="B51" t="s">
        <v>16</v>
      </c>
      <c r="C51">
        <v>50</v>
      </c>
      <c r="D51" s="1">
        <v>5999.9999842821398</v>
      </c>
      <c r="E51" s="2">
        <v>0.13696969696969696</v>
      </c>
    </row>
    <row r="52" spans="2:5" x14ac:dyDescent="0.3">
      <c r="B52" t="s">
        <v>16</v>
      </c>
      <c r="C52">
        <v>51</v>
      </c>
      <c r="D52" s="1">
        <v>5999.9999895836972</v>
      </c>
      <c r="E52" s="2">
        <v>0.13696969696969696</v>
      </c>
    </row>
    <row r="53" spans="2:5" x14ac:dyDescent="0.3">
      <c r="B53" t="s">
        <v>16</v>
      </c>
      <c r="C53">
        <v>52</v>
      </c>
      <c r="D53" s="1">
        <v>5999.9999930970653</v>
      </c>
      <c r="E53" s="2">
        <v>0.13696969696969696</v>
      </c>
    </row>
    <row r="54" spans="2:5" x14ac:dyDescent="0.3">
      <c r="B54" t="s">
        <v>16</v>
      </c>
      <c r="C54">
        <v>53</v>
      </c>
      <c r="D54" s="1">
        <v>5999.9999954253908</v>
      </c>
      <c r="E54" s="2">
        <v>0.13696969696969696</v>
      </c>
    </row>
    <row r="55" spans="2:5" x14ac:dyDescent="0.3">
      <c r="B55" t="s">
        <v>16</v>
      </c>
      <c r="C55">
        <v>54</v>
      </c>
      <c r="D55" s="1">
        <v>5999.9999969683849</v>
      </c>
      <c r="E55" s="2">
        <v>0.13696969696969696</v>
      </c>
    </row>
    <row r="56" spans="2:5" x14ac:dyDescent="0.3">
      <c r="B56" t="s">
        <v>16</v>
      </c>
      <c r="C56">
        <v>55</v>
      </c>
      <c r="D56" s="1">
        <v>5999.9999979909335</v>
      </c>
      <c r="E56" s="2">
        <v>0.13696969696969696</v>
      </c>
    </row>
    <row r="57" spans="2:5" x14ac:dyDescent="0.3">
      <c r="B57" t="s">
        <v>16</v>
      </c>
      <c r="C57">
        <v>56</v>
      </c>
      <c r="D57" s="1">
        <v>5999.9999986685816</v>
      </c>
      <c r="E57" s="2">
        <v>0.13696969696969696</v>
      </c>
    </row>
    <row r="58" spans="2:5" x14ac:dyDescent="0.3">
      <c r="B58" t="s">
        <v>16</v>
      </c>
      <c r="C58">
        <v>57</v>
      </c>
      <c r="D58" s="1">
        <v>5999.9999991176628</v>
      </c>
      <c r="E58" s="2">
        <v>0.13696969696969696</v>
      </c>
    </row>
    <row r="59" spans="2:5" x14ac:dyDescent="0.3">
      <c r="B59" t="s">
        <v>16</v>
      </c>
      <c r="C59">
        <v>58</v>
      </c>
      <c r="D59" s="1">
        <v>5999.9999994152713</v>
      </c>
      <c r="E59" s="2">
        <v>0.13696969696969696</v>
      </c>
    </row>
    <row r="60" spans="2:5" x14ac:dyDescent="0.3">
      <c r="B60" t="s">
        <v>16</v>
      </c>
      <c r="C60">
        <v>59</v>
      </c>
      <c r="D60" s="1">
        <v>5999.999999612497</v>
      </c>
      <c r="E60" s="2">
        <v>0.13696969696969696</v>
      </c>
    </row>
    <row r="61" spans="2:5" x14ac:dyDescent="0.3">
      <c r="B61" t="s">
        <v>16</v>
      </c>
      <c r="C61">
        <v>60</v>
      </c>
      <c r="D61" s="1">
        <v>5999.9999997431996</v>
      </c>
      <c r="E61" s="2">
        <v>0.13696969696969696</v>
      </c>
    </row>
    <row r="62" spans="2:5" x14ac:dyDescent="0.3">
      <c r="B62" t="s">
        <v>16</v>
      </c>
      <c r="C62">
        <v>61</v>
      </c>
      <c r="D62" s="1">
        <v>5999.9999998298172</v>
      </c>
      <c r="E62" s="2">
        <v>0.13696969696969696</v>
      </c>
    </row>
    <row r="63" spans="2:5" x14ac:dyDescent="0.3">
      <c r="B63" t="s">
        <v>16</v>
      </c>
      <c r="C63">
        <v>62</v>
      </c>
      <c r="D63" s="1">
        <v>5999.999999887219</v>
      </c>
      <c r="E63" s="2">
        <v>0.13696969696969696</v>
      </c>
    </row>
    <row r="64" spans="2:5" x14ac:dyDescent="0.3">
      <c r="B64" t="s">
        <v>16</v>
      </c>
      <c r="C64">
        <v>63</v>
      </c>
      <c r="D64" s="1">
        <v>5999.9999999252595</v>
      </c>
      <c r="E64" s="2">
        <v>0.13696969696969696</v>
      </c>
    </row>
    <row r="65" spans="2:5" x14ac:dyDescent="0.3">
      <c r="B65" t="s">
        <v>16</v>
      </c>
      <c r="C65">
        <v>64</v>
      </c>
      <c r="D65" s="1">
        <v>5999.9999999504689</v>
      </c>
      <c r="E65" s="2">
        <v>0.13696969696969696</v>
      </c>
    </row>
    <row r="66" spans="2:5" x14ac:dyDescent="0.3">
      <c r="B66" t="s">
        <v>16</v>
      </c>
      <c r="C66">
        <v>65</v>
      </c>
      <c r="D66" s="1">
        <v>5999.9999999671754</v>
      </c>
      <c r="E66" s="2">
        <v>0.13696969696969696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6"/>
  <sheetViews>
    <sheetView workbookViewId="0">
      <selection sqref="A1:XFD104857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15</v>
      </c>
    </row>
    <row r="2" spans="1:13" x14ac:dyDescent="0.3">
      <c r="A2" t="s">
        <v>32</v>
      </c>
      <c r="B2" t="s">
        <v>32</v>
      </c>
      <c r="C2" s="2">
        <v>1</v>
      </c>
      <c r="D2" s="1">
        <v>120.39572059598729</v>
      </c>
      <c r="E2" s="2">
        <v>0</v>
      </c>
      <c r="F2">
        <v>950</v>
      </c>
      <c r="G2">
        <f>-0.0013*F2+2.375</f>
        <v>1.1400000000000001</v>
      </c>
      <c r="H2">
        <f>-0.00001*(F2^2)+0.0137*F2+0.5215</f>
        <v>4.5114999999999998</v>
      </c>
      <c r="I2">
        <v>1</v>
      </c>
      <c r="J2">
        <f>7.255*EXP(0.0028*F2)</f>
        <v>103.71957741090601</v>
      </c>
      <c r="K2" t="s">
        <v>17</v>
      </c>
    </row>
    <row r="3" spans="1:13" x14ac:dyDescent="0.3">
      <c r="B3" t="s">
        <v>32</v>
      </c>
      <c r="C3" s="2">
        <v>2</v>
      </c>
      <c r="D3" s="1">
        <v>323.49161656709873</v>
      </c>
      <c r="E3" s="2">
        <v>0</v>
      </c>
    </row>
    <row r="4" spans="1:13" x14ac:dyDescent="0.3">
      <c r="B4" t="s">
        <v>32</v>
      </c>
      <c r="C4" s="2">
        <v>3</v>
      </c>
      <c r="D4" s="1">
        <v>551.19053275688964</v>
      </c>
      <c r="E4" s="2">
        <v>0.17207582750235717</v>
      </c>
      <c r="G4" t="s">
        <v>18</v>
      </c>
      <c r="H4" t="s">
        <v>19</v>
      </c>
      <c r="I4" t="s">
        <v>20</v>
      </c>
      <c r="J4" t="s">
        <v>21</v>
      </c>
      <c r="K4" t="s">
        <v>22</v>
      </c>
      <c r="L4" t="s">
        <v>23</v>
      </c>
      <c r="M4" t="s">
        <v>24</v>
      </c>
    </row>
    <row r="5" spans="1:13" x14ac:dyDescent="0.3">
      <c r="B5" t="s">
        <v>32</v>
      </c>
      <c r="C5" s="2">
        <v>4</v>
      </c>
      <c r="D5" s="1">
        <v>725.0665206774479</v>
      </c>
      <c r="E5" s="2">
        <v>0.45283112500620321</v>
      </c>
      <c r="G5" s="1">
        <v>950</v>
      </c>
      <c r="H5" s="3">
        <v>39.477395801540446</v>
      </c>
      <c r="I5">
        <v>2.62</v>
      </c>
      <c r="J5">
        <v>1</v>
      </c>
      <c r="K5" s="2">
        <v>0.90566225001240641</v>
      </c>
      <c r="L5">
        <v>25</v>
      </c>
      <c r="M5" t="s">
        <v>25</v>
      </c>
    </row>
    <row r="6" spans="1:13" x14ac:dyDescent="0.3">
      <c r="B6" t="s">
        <v>32</v>
      </c>
      <c r="C6" s="2">
        <v>5</v>
      </c>
      <c r="D6" s="1">
        <v>831.7585491495463</v>
      </c>
      <c r="E6" s="2">
        <v>0.45283112500620321</v>
      </c>
    </row>
    <row r="7" spans="1:13" x14ac:dyDescent="0.3">
      <c r="B7" t="s">
        <v>32</v>
      </c>
      <c r="C7" s="2">
        <v>6</v>
      </c>
      <c r="D7" s="1">
        <v>890.12034818354994</v>
      </c>
      <c r="E7" s="2">
        <v>0.45283112500620321</v>
      </c>
    </row>
    <row r="8" spans="1:13" x14ac:dyDescent="0.3">
      <c r="B8" t="s">
        <v>32</v>
      </c>
      <c r="C8" s="2">
        <v>7</v>
      </c>
      <c r="D8" s="1">
        <v>920.24476631583275</v>
      </c>
      <c r="E8" s="2">
        <v>0.45283112500620321</v>
      </c>
    </row>
    <row r="9" spans="1:13" x14ac:dyDescent="0.3">
      <c r="B9" t="s">
        <v>32</v>
      </c>
      <c r="C9" s="2">
        <v>8</v>
      </c>
      <c r="D9" s="1">
        <v>935.35270057525133</v>
      </c>
      <c r="E9" s="2">
        <v>0.45283112500620321</v>
      </c>
    </row>
    <row r="10" spans="1:13" x14ac:dyDescent="0.3">
      <c r="B10" t="s">
        <v>32</v>
      </c>
      <c r="C10" s="2">
        <v>9</v>
      </c>
      <c r="D10" s="1">
        <v>942.82308051370705</v>
      </c>
      <c r="E10" s="2">
        <v>0.45283112500620321</v>
      </c>
    </row>
    <row r="11" spans="1:13" x14ac:dyDescent="0.3">
      <c r="B11" t="s">
        <v>32</v>
      </c>
      <c r="C11" s="2">
        <v>10</v>
      </c>
      <c r="D11" s="1">
        <v>946.49141618277292</v>
      </c>
      <c r="E11" s="2">
        <v>0.45283112500620321</v>
      </c>
    </row>
    <row r="12" spans="1:13" x14ac:dyDescent="0.3">
      <c r="B12" t="s">
        <v>32</v>
      </c>
      <c r="C12" s="2">
        <v>11</v>
      </c>
      <c r="D12" s="1">
        <v>948.28666123587129</v>
      </c>
      <c r="E12" s="2">
        <v>0.45283112500620321</v>
      </c>
    </row>
    <row r="13" spans="1:13" x14ac:dyDescent="0.3">
      <c r="B13" t="s">
        <v>32</v>
      </c>
      <c r="C13" s="2">
        <v>12</v>
      </c>
      <c r="D13" s="1">
        <v>949.16378287847181</v>
      </c>
      <c r="E13" s="2">
        <v>0.45283112500620321</v>
      </c>
    </row>
    <row r="14" spans="1:13" x14ac:dyDescent="0.3">
      <c r="B14" t="s">
        <v>32</v>
      </c>
      <c r="C14" s="2">
        <v>13</v>
      </c>
      <c r="D14" s="1">
        <v>949.59198146105348</v>
      </c>
      <c r="E14" s="2">
        <v>0.45283112500620321</v>
      </c>
    </row>
    <row r="15" spans="1:13" x14ac:dyDescent="0.3">
      <c r="B15" t="s">
        <v>32</v>
      </c>
      <c r="C15" s="2">
        <v>14</v>
      </c>
      <c r="D15" s="1">
        <v>949.80093970763858</v>
      </c>
      <c r="E15" s="2">
        <v>0.45283112500620321</v>
      </c>
    </row>
    <row r="16" spans="1:13" x14ac:dyDescent="0.3">
      <c r="B16" t="s">
        <v>32</v>
      </c>
      <c r="C16" s="2">
        <v>15</v>
      </c>
      <c r="D16" s="1">
        <v>949.90289043485211</v>
      </c>
      <c r="E16" s="2">
        <v>0.45283112500620321</v>
      </c>
    </row>
    <row r="17" spans="2:5" x14ac:dyDescent="0.3">
      <c r="B17" t="s">
        <v>32</v>
      </c>
      <c r="C17" s="2">
        <v>16</v>
      </c>
      <c r="D17" s="1">
        <v>949.95262753001793</v>
      </c>
      <c r="E17" s="2">
        <v>0.45283112500620321</v>
      </c>
    </row>
    <row r="18" spans="2:5" x14ac:dyDescent="0.3">
      <c r="B18" t="s">
        <v>32</v>
      </c>
      <c r="C18" s="2">
        <v>17</v>
      </c>
      <c r="D18" s="1">
        <v>949.97689087318997</v>
      </c>
      <c r="E18" s="2">
        <v>0.45283112500620321</v>
      </c>
    </row>
    <row r="19" spans="2:5" x14ac:dyDescent="0.3">
      <c r="B19" t="s">
        <v>32</v>
      </c>
      <c r="C19" s="2">
        <v>18</v>
      </c>
      <c r="D19" s="1">
        <v>949.98872704262419</v>
      </c>
      <c r="E19" s="2">
        <v>0.45283112500620321</v>
      </c>
    </row>
    <row r="20" spans="2:5" x14ac:dyDescent="0.3">
      <c r="B20" t="s">
        <v>32</v>
      </c>
      <c r="C20" s="2">
        <v>19</v>
      </c>
      <c r="D20" s="1">
        <v>949.99450091232313</v>
      </c>
      <c r="E20" s="2">
        <v>0.45283112500620321</v>
      </c>
    </row>
    <row r="21" spans="2:5" x14ac:dyDescent="0.3">
      <c r="B21" t="s">
        <v>32</v>
      </c>
      <c r="C21" s="2">
        <v>20</v>
      </c>
      <c r="D21" s="1">
        <v>949.99731748186196</v>
      </c>
      <c r="E21" s="2">
        <v>0.45283112500620321</v>
      </c>
    </row>
    <row r="22" spans="2:5" x14ac:dyDescent="0.3">
      <c r="B22" t="s">
        <v>32</v>
      </c>
      <c r="C22" s="2">
        <v>21</v>
      </c>
      <c r="D22" s="1">
        <v>949.99869143794876</v>
      </c>
      <c r="E22" s="2">
        <v>0.45283112500620321</v>
      </c>
    </row>
    <row r="23" spans="2:5" x14ac:dyDescent="0.3">
      <c r="B23" t="s">
        <v>32</v>
      </c>
      <c r="C23" s="2">
        <v>22</v>
      </c>
      <c r="D23" s="1">
        <v>949.99936166920622</v>
      </c>
      <c r="E23" s="2">
        <v>0.45283112500620321</v>
      </c>
    </row>
    <row r="24" spans="2:5" x14ac:dyDescent="0.3">
      <c r="B24" t="s">
        <v>32</v>
      </c>
      <c r="C24" s="2">
        <v>23</v>
      </c>
      <c r="D24" s="1">
        <v>949.9996886153624</v>
      </c>
      <c r="E24" s="2">
        <v>0.45283112500620321</v>
      </c>
    </row>
    <row r="25" spans="2:5" x14ac:dyDescent="0.3">
      <c r="B25" t="s">
        <v>32</v>
      </c>
      <c r="C25" s="2">
        <v>24</v>
      </c>
      <c r="D25" s="1">
        <v>949.9998481032344</v>
      </c>
      <c r="E25" s="2">
        <v>0.45283112500620321</v>
      </c>
    </row>
    <row r="26" spans="2:5" x14ac:dyDescent="0.3">
      <c r="B26" t="s">
        <v>32</v>
      </c>
      <c r="C26" s="2">
        <v>25</v>
      </c>
      <c r="D26" s="1">
        <v>949.99992590313229</v>
      </c>
      <c r="E26" s="2">
        <v>0.45283112500620321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6"/>
  <sheetViews>
    <sheetView workbookViewId="0">
      <selection sqref="A1:XFD104857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15</v>
      </c>
    </row>
    <row r="2" spans="1:13" x14ac:dyDescent="0.3">
      <c r="A2" t="s">
        <v>33</v>
      </c>
      <c r="B2" t="s">
        <v>33</v>
      </c>
      <c r="C2" s="2">
        <v>1</v>
      </c>
      <c r="D2" s="1">
        <v>116.27934526599356</v>
      </c>
      <c r="E2" s="2">
        <v>0</v>
      </c>
      <c r="F2">
        <v>900</v>
      </c>
      <c r="G2">
        <f>-0.0013*F2+2.375</f>
        <v>1.2050000000000001</v>
      </c>
      <c r="H2">
        <f>-0.00001*(F2^2)+0.0137*F2+0.5215</f>
        <v>4.7514999999999983</v>
      </c>
      <c r="I2">
        <v>1</v>
      </c>
      <c r="J2">
        <f>7.255*EXP(0.0028*F2)</f>
        <v>90.169468794255081</v>
      </c>
      <c r="K2" t="s">
        <v>17</v>
      </c>
    </row>
    <row r="3" spans="1:13" x14ac:dyDescent="0.3">
      <c r="B3" t="s">
        <v>33</v>
      </c>
      <c r="C3" s="2">
        <v>2</v>
      </c>
      <c r="D3" s="1">
        <v>312.67282032224023</v>
      </c>
      <c r="E3" s="2">
        <v>0</v>
      </c>
    </row>
    <row r="4" spans="1:13" x14ac:dyDescent="0.3">
      <c r="B4" t="s">
        <v>33</v>
      </c>
      <c r="C4" s="2">
        <v>3</v>
      </c>
      <c r="D4" s="1">
        <v>530.57750365055392</v>
      </c>
      <c r="E4" s="2">
        <v>0.17207582750235717</v>
      </c>
      <c r="G4" t="s">
        <v>18</v>
      </c>
      <c r="H4" t="s">
        <v>19</v>
      </c>
      <c r="I4" t="s">
        <v>20</v>
      </c>
      <c r="J4" t="s">
        <v>21</v>
      </c>
      <c r="K4" t="s">
        <v>22</v>
      </c>
      <c r="L4" t="s">
        <v>23</v>
      </c>
      <c r="M4" t="s">
        <v>24</v>
      </c>
    </row>
    <row r="5" spans="1:13" x14ac:dyDescent="0.3">
      <c r="B5" t="s">
        <v>33</v>
      </c>
      <c r="C5" s="2">
        <v>4</v>
      </c>
      <c r="D5" s="1">
        <v>694.46559311224985</v>
      </c>
      <c r="E5" s="2">
        <v>0.45283112500620321</v>
      </c>
      <c r="G5" s="1">
        <v>900</v>
      </c>
      <c r="H5" s="3">
        <v>37.666083770255355</v>
      </c>
      <c r="I5">
        <v>2.62</v>
      </c>
      <c r="J5">
        <v>1</v>
      </c>
      <c r="K5" s="2">
        <v>0.90566225001240641</v>
      </c>
      <c r="L5">
        <v>25</v>
      </c>
      <c r="M5" t="s">
        <v>25</v>
      </c>
    </row>
    <row r="6" spans="1:13" x14ac:dyDescent="0.3">
      <c r="B6" t="s">
        <v>33</v>
      </c>
      <c r="C6" s="2">
        <v>5</v>
      </c>
      <c r="D6" s="1">
        <v>793.42469597155628</v>
      </c>
      <c r="E6" s="2">
        <v>0.45283112500620321</v>
      </c>
    </row>
    <row r="7" spans="1:13" x14ac:dyDescent="0.3">
      <c r="B7" t="s">
        <v>33</v>
      </c>
      <c r="C7" s="2">
        <v>6</v>
      </c>
      <c r="D7" s="1">
        <v>846.7363936188309</v>
      </c>
      <c r="E7" s="2">
        <v>0.45283112500620321</v>
      </c>
    </row>
    <row r="8" spans="1:13" x14ac:dyDescent="0.3">
      <c r="B8" t="s">
        <v>33</v>
      </c>
      <c r="C8" s="2">
        <v>7</v>
      </c>
      <c r="D8" s="1">
        <v>873.86696221557884</v>
      </c>
      <c r="E8" s="2">
        <v>0.45283112500620321</v>
      </c>
    </row>
    <row r="9" spans="1:13" x14ac:dyDescent="0.3">
      <c r="B9" t="s">
        <v>33</v>
      </c>
      <c r="C9" s="2">
        <v>8</v>
      </c>
      <c r="D9" s="1">
        <v>887.2938474388742</v>
      </c>
      <c r="E9" s="2">
        <v>0.45283112500620321</v>
      </c>
    </row>
    <row r="10" spans="1:13" x14ac:dyDescent="0.3">
      <c r="B10" t="s">
        <v>33</v>
      </c>
      <c r="C10" s="2">
        <v>9</v>
      </c>
      <c r="D10" s="1">
        <v>893.84930148991452</v>
      </c>
      <c r="E10" s="2">
        <v>0.45283112500620321</v>
      </c>
    </row>
    <row r="11" spans="1:13" x14ac:dyDescent="0.3">
      <c r="B11" t="s">
        <v>33</v>
      </c>
      <c r="C11" s="2">
        <v>10</v>
      </c>
      <c r="D11" s="1">
        <v>897.02896130318277</v>
      </c>
      <c r="E11" s="2">
        <v>0.45283112500620321</v>
      </c>
    </row>
    <row r="12" spans="1:13" x14ac:dyDescent="0.3">
      <c r="B12" t="s">
        <v>33</v>
      </c>
      <c r="C12" s="2">
        <v>11</v>
      </c>
      <c r="D12" s="1">
        <v>898.56634511537186</v>
      </c>
      <c r="E12" s="2">
        <v>0.45283112500620321</v>
      </c>
    </row>
    <row r="13" spans="1:13" x14ac:dyDescent="0.3">
      <c r="B13" t="s">
        <v>33</v>
      </c>
      <c r="C13" s="2">
        <v>12</v>
      </c>
      <c r="D13" s="1">
        <v>899.30854334837488</v>
      </c>
      <c r="E13" s="2">
        <v>0.45283112500620321</v>
      </c>
    </row>
    <row r="14" spans="1:13" x14ac:dyDescent="0.3">
      <c r="B14" t="s">
        <v>33</v>
      </c>
      <c r="C14" s="2">
        <v>13</v>
      </c>
      <c r="D14" s="1">
        <v>899.66658807062197</v>
      </c>
      <c r="E14" s="2">
        <v>0.45283112500620321</v>
      </c>
    </row>
    <row r="15" spans="1:13" x14ac:dyDescent="0.3">
      <c r="B15" t="s">
        <v>33</v>
      </c>
      <c r="C15" s="2">
        <v>14</v>
      </c>
      <c r="D15" s="1">
        <v>899.83925144274599</v>
      </c>
      <c r="E15" s="2">
        <v>0.45283112500620321</v>
      </c>
    </row>
    <row r="16" spans="1:13" x14ac:dyDescent="0.3">
      <c r="B16" t="s">
        <v>33</v>
      </c>
      <c r="C16" s="2">
        <v>15</v>
      </c>
      <c r="D16" s="1">
        <v>899.92250229943011</v>
      </c>
      <c r="E16" s="2">
        <v>0.45283112500620321</v>
      </c>
    </row>
    <row r="17" spans="2:5" x14ac:dyDescent="0.3">
      <c r="B17" t="s">
        <v>33</v>
      </c>
      <c r="C17" s="2">
        <v>16</v>
      </c>
      <c r="D17" s="1">
        <v>899.96263896704113</v>
      </c>
      <c r="E17" s="2">
        <v>0.45283112500620321</v>
      </c>
    </row>
    <row r="18" spans="2:5" x14ac:dyDescent="0.3">
      <c r="B18" t="s">
        <v>33</v>
      </c>
      <c r="C18" s="2">
        <v>17</v>
      </c>
      <c r="D18" s="1">
        <v>899.98198877277616</v>
      </c>
      <c r="E18" s="2">
        <v>0.45283112500620321</v>
      </c>
    </row>
    <row r="19" spans="2:5" x14ac:dyDescent="0.3">
      <c r="B19" t="s">
        <v>33</v>
      </c>
      <c r="C19" s="2">
        <v>18</v>
      </c>
      <c r="D19" s="1">
        <v>899.99131709554956</v>
      </c>
      <c r="E19" s="2">
        <v>0.45283112500620321</v>
      </c>
    </row>
    <row r="20" spans="2:5" x14ac:dyDescent="0.3">
      <c r="B20" t="s">
        <v>33</v>
      </c>
      <c r="C20" s="2">
        <v>19</v>
      </c>
      <c r="D20" s="1">
        <v>899.99581413294686</v>
      </c>
      <c r="E20" s="2">
        <v>0.45283112500620321</v>
      </c>
    </row>
    <row r="21" spans="2:5" x14ac:dyDescent="0.3">
      <c r="B21" t="s">
        <v>33</v>
      </c>
      <c r="C21" s="2">
        <v>20</v>
      </c>
      <c r="D21" s="1">
        <v>899.99798207412687</v>
      </c>
      <c r="E21" s="2">
        <v>0.45283112500620321</v>
      </c>
    </row>
    <row r="22" spans="2:5" x14ac:dyDescent="0.3">
      <c r="B22" t="s">
        <v>33</v>
      </c>
      <c r="C22" s="2">
        <v>21</v>
      </c>
      <c r="D22" s="1">
        <v>899.999027197489</v>
      </c>
      <c r="E22" s="2">
        <v>0.45283112500620321</v>
      </c>
    </row>
    <row r="23" spans="2:5" x14ac:dyDescent="0.3">
      <c r="B23" t="s">
        <v>33</v>
      </c>
      <c r="C23" s="2">
        <v>22</v>
      </c>
      <c r="D23" s="1">
        <v>899.99953103113523</v>
      </c>
      <c r="E23" s="2">
        <v>0.45283112500620321</v>
      </c>
    </row>
    <row r="24" spans="2:5" x14ac:dyDescent="0.3">
      <c r="B24" t="s">
        <v>33</v>
      </c>
      <c r="C24" s="2">
        <v>23</v>
      </c>
      <c r="D24" s="1">
        <v>899.99977391941547</v>
      </c>
      <c r="E24" s="2">
        <v>0.45283112500620321</v>
      </c>
    </row>
    <row r="25" spans="2:5" x14ac:dyDescent="0.3">
      <c r="B25" t="s">
        <v>33</v>
      </c>
      <c r="C25" s="2">
        <v>24</v>
      </c>
      <c r="D25" s="1">
        <v>899.99989101104461</v>
      </c>
      <c r="E25" s="2">
        <v>0.45283112500620321</v>
      </c>
    </row>
    <row r="26" spans="2:5" x14ac:dyDescent="0.3">
      <c r="B26" t="s">
        <v>33</v>
      </c>
      <c r="C26" s="2">
        <v>25</v>
      </c>
      <c r="D26" s="1">
        <v>899.99994745859317</v>
      </c>
      <c r="E26" s="2">
        <v>0.45283112500620321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0"/>
  <sheetViews>
    <sheetView workbookViewId="0">
      <selection sqref="A1:XFD104857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34</v>
      </c>
      <c r="L1" t="s">
        <v>15</v>
      </c>
    </row>
    <row r="2" spans="1:13" x14ac:dyDescent="0.3">
      <c r="A2" t="s">
        <v>35</v>
      </c>
      <c r="B2" t="s">
        <v>35</v>
      </c>
      <c r="C2" s="2">
        <v>1</v>
      </c>
      <c r="D2" s="1">
        <v>71.656424629808754</v>
      </c>
      <c r="E2" s="2">
        <v>0</v>
      </c>
      <c r="F2">
        <v>227</v>
      </c>
      <c r="G2">
        <v>1.01</v>
      </c>
      <c r="H2">
        <f>1.180998+0.002848*F2</f>
        <v>1.827494</v>
      </c>
      <c r="I2">
        <v>1</v>
      </c>
      <c r="J2">
        <v>30</v>
      </c>
      <c r="K2">
        <v>20</v>
      </c>
      <c r="L2" t="s">
        <v>36</v>
      </c>
    </row>
    <row r="3" spans="1:13" x14ac:dyDescent="0.3">
      <c r="B3" t="s">
        <v>35</v>
      </c>
      <c r="C3" s="2">
        <v>2</v>
      </c>
      <c r="D3" s="1">
        <v>147.84557611674927</v>
      </c>
      <c r="E3" s="2">
        <v>0</v>
      </c>
    </row>
    <row r="4" spans="1:13" x14ac:dyDescent="0.3">
      <c r="B4" t="s">
        <v>35</v>
      </c>
      <c r="C4" s="2">
        <v>3</v>
      </c>
      <c r="D4" s="1">
        <v>195.92045641887091</v>
      </c>
      <c r="E4" s="2">
        <v>0</v>
      </c>
      <c r="G4" t="s">
        <v>18</v>
      </c>
      <c r="H4" t="s">
        <v>19</v>
      </c>
      <c r="I4" t="s">
        <v>20</v>
      </c>
      <c r="J4" t="s">
        <v>21</v>
      </c>
      <c r="K4" t="s">
        <v>22</v>
      </c>
      <c r="L4" t="s">
        <v>23</v>
      </c>
      <c r="M4" t="s">
        <v>24</v>
      </c>
    </row>
    <row r="5" spans="1:13" x14ac:dyDescent="0.3">
      <c r="B5" t="s">
        <v>35</v>
      </c>
      <c r="C5" s="2">
        <v>4</v>
      </c>
      <c r="D5" s="1">
        <v>216.14996934966604</v>
      </c>
      <c r="E5" s="2">
        <v>0.16666666666666666</v>
      </c>
      <c r="G5" s="4">
        <v>227.13</v>
      </c>
      <c r="H5" s="3">
        <v>28.729799379999996</v>
      </c>
      <c r="I5">
        <v>3.5</v>
      </c>
      <c r="J5">
        <v>1</v>
      </c>
      <c r="K5" s="2">
        <v>0.66666666666666663</v>
      </c>
      <c r="L5">
        <v>38.799999999999997</v>
      </c>
      <c r="M5" t="s">
        <v>25</v>
      </c>
    </row>
    <row r="6" spans="1:13" x14ac:dyDescent="0.3">
      <c r="B6" t="s">
        <v>35</v>
      </c>
      <c r="C6" s="2">
        <v>5</v>
      </c>
      <c r="D6" s="1">
        <v>223.42046289117232</v>
      </c>
      <c r="E6" s="2">
        <v>0.33333333333333331</v>
      </c>
    </row>
    <row r="7" spans="1:13" x14ac:dyDescent="0.3">
      <c r="B7" t="s">
        <v>35</v>
      </c>
      <c r="C7" s="2">
        <v>6</v>
      </c>
      <c r="D7" s="1">
        <v>225.89392056459857</v>
      </c>
      <c r="E7" s="2">
        <v>0.33333333333333331</v>
      </c>
    </row>
    <row r="8" spans="1:13" x14ac:dyDescent="0.3">
      <c r="B8" t="s">
        <v>35</v>
      </c>
      <c r="C8" s="2">
        <v>7</v>
      </c>
      <c r="D8" s="1">
        <v>226.72001056035123</v>
      </c>
      <c r="E8" s="2">
        <v>0.33333333333333331</v>
      </c>
    </row>
    <row r="9" spans="1:13" x14ac:dyDescent="0.3">
      <c r="B9" t="s">
        <v>35</v>
      </c>
      <c r="C9" s="2">
        <v>8</v>
      </c>
      <c r="D9" s="1">
        <v>226.9942202600009</v>
      </c>
      <c r="E9" s="2">
        <v>0.33333333333333331</v>
      </c>
    </row>
    <row r="10" spans="1:13" x14ac:dyDescent="0.3">
      <c r="B10" t="s">
        <v>35</v>
      </c>
      <c r="C10" s="2">
        <v>9</v>
      </c>
      <c r="D10" s="1">
        <v>227.08505542035749</v>
      </c>
      <c r="E10" s="2">
        <v>0.33333333333333331</v>
      </c>
    </row>
    <row r="11" spans="1:13" x14ac:dyDescent="0.3">
      <c r="B11" t="s">
        <v>35</v>
      </c>
      <c r="C11" s="2">
        <v>10</v>
      </c>
      <c r="D11" s="1">
        <v>227.11512534639991</v>
      </c>
      <c r="E11" s="2">
        <v>0.33333333333333331</v>
      </c>
    </row>
    <row r="12" spans="1:13" x14ac:dyDescent="0.3">
      <c r="B12" t="s">
        <v>35</v>
      </c>
      <c r="C12" s="2">
        <v>11</v>
      </c>
      <c r="D12" s="1">
        <v>227.12507742547109</v>
      </c>
      <c r="E12" s="2">
        <v>0.33333333333333331</v>
      </c>
    </row>
    <row r="13" spans="1:13" x14ac:dyDescent="0.3">
      <c r="B13" t="s">
        <v>35</v>
      </c>
      <c r="C13" s="2">
        <v>12</v>
      </c>
      <c r="D13" s="1">
        <v>227.12837096744084</v>
      </c>
      <c r="E13" s="2">
        <v>0.33333333333333331</v>
      </c>
    </row>
    <row r="14" spans="1:13" x14ac:dyDescent="0.3">
      <c r="B14" t="s">
        <v>35</v>
      </c>
      <c r="C14" s="2">
        <v>13</v>
      </c>
      <c r="D14" s="1">
        <v>227.12946090588642</v>
      </c>
      <c r="E14" s="2">
        <v>0.33333333333333331</v>
      </c>
    </row>
    <row r="15" spans="1:13" x14ac:dyDescent="0.3">
      <c r="B15" t="s">
        <v>35</v>
      </c>
      <c r="C15" s="2">
        <v>14</v>
      </c>
      <c r="D15" s="1">
        <v>227.12998046264482</v>
      </c>
      <c r="E15" s="2">
        <v>0.33333333333333331</v>
      </c>
    </row>
    <row r="16" spans="1:13" x14ac:dyDescent="0.3">
      <c r="B16" t="s">
        <v>35</v>
      </c>
      <c r="C16" s="2">
        <v>15</v>
      </c>
      <c r="D16" s="1">
        <v>227.1299935345418</v>
      </c>
      <c r="E16" s="2">
        <v>0.33333333333333331</v>
      </c>
    </row>
    <row r="17" spans="2:5" x14ac:dyDescent="0.3">
      <c r="B17" t="s">
        <v>35</v>
      </c>
      <c r="C17" s="2">
        <v>16</v>
      </c>
      <c r="D17" s="1">
        <v>227.12999786039879</v>
      </c>
      <c r="E17" s="2">
        <v>0.33333333333333331</v>
      </c>
    </row>
    <row r="18" spans="2:5" x14ac:dyDescent="0.3">
      <c r="B18" t="s">
        <v>35</v>
      </c>
      <c r="C18" s="2">
        <v>17</v>
      </c>
      <c r="D18" s="1">
        <v>227.12999929194604</v>
      </c>
      <c r="E18" s="2">
        <v>0.33333333333333331</v>
      </c>
    </row>
    <row r="19" spans="2:5" x14ac:dyDescent="0.3">
      <c r="B19" t="s">
        <v>35</v>
      </c>
      <c r="C19" s="2">
        <v>18</v>
      </c>
      <c r="D19" s="1">
        <v>227.12999976568511</v>
      </c>
      <c r="E19" s="2">
        <v>0.33333333333333331</v>
      </c>
    </row>
    <row r="20" spans="2:5" x14ac:dyDescent="0.3">
      <c r="B20" t="s">
        <v>35</v>
      </c>
      <c r="C20" s="2">
        <v>19</v>
      </c>
      <c r="D20" s="1">
        <v>227.12999992245867</v>
      </c>
      <c r="E20" s="2">
        <v>0.33333333333333331</v>
      </c>
    </row>
    <row r="21" spans="2:5" x14ac:dyDescent="0.3">
      <c r="B21" t="s">
        <v>35</v>
      </c>
      <c r="C21" s="2">
        <v>20</v>
      </c>
      <c r="D21" s="1">
        <v>227.12999997433943</v>
      </c>
      <c r="E21" s="2">
        <v>0.33333333333333331</v>
      </c>
    </row>
    <row r="22" spans="2:5" x14ac:dyDescent="0.3">
      <c r="B22" t="s">
        <v>35</v>
      </c>
      <c r="C22" s="2">
        <v>21</v>
      </c>
      <c r="D22" s="1">
        <v>227.12999999150821</v>
      </c>
      <c r="E22" s="2">
        <v>0.33333333333333331</v>
      </c>
    </row>
    <row r="23" spans="2:5" x14ac:dyDescent="0.3">
      <c r="B23" t="s">
        <v>35</v>
      </c>
      <c r="C23" s="2">
        <v>22</v>
      </c>
      <c r="D23" s="1">
        <v>227.12999999718983</v>
      </c>
      <c r="E23" s="2">
        <v>0.33333333333333331</v>
      </c>
    </row>
    <row r="24" spans="2:5" x14ac:dyDescent="0.3">
      <c r="B24" t="s">
        <v>35</v>
      </c>
      <c r="C24" s="2">
        <v>23</v>
      </c>
      <c r="D24" s="1">
        <v>227.12999999907001</v>
      </c>
      <c r="E24" s="2">
        <v>0.33333333333333331</v>
      </c>
    </row>
    <row r="25" spans="2:5" x14ac:dyDescent="0.3">
      <c r="B25" t="s">
        <v>35</v>
      </c>
      <c r="C25" s="2">
        <v>24</v>
      </c>
      <c r="D25" s="1">
        <v>227.12999999969225</v>
      </c>
      <c r="E25" s="2">
        <v>0.33333333333333331</v>
      </c>
    </row>
    <row r="26" spans="2:5" x14ac:dyDescent="0.3">
      <c r="B26" t="s">
        <v>35</v>
      </c>
      <c r="C26" s="2">
        <v>25</v>
      </c>
      <c r="D26" s="1">
        <v>227.12999999989816</v>
      </c>
      <c r="E26" s="2">
        <v>0.33333333333333331</v>
      </c>
    </row>
    <row r="27" spans="2:5" x14ac:dyDescent="0.3">
      <c r="B27" t="s">
        <v>35</v>
      </c>
      <c r="C27" s="2">
        <v>26</v>
      </c>
      <c r="D27" s="1">
        <v>227.12999999996629</v>
      </c>
      <c r="E27" s="2">
        <v>0.33333333333333331</v>
      </c>
    </row>
    <row r="28" spans="2:5" x14ac:dyDescent="0.3">
      <c r="B28" t="s">
        <v>35</v>
      </c>
      <c r="C28" s="2">
        <v>27</v>
      </c>
      <c r="D28" s="1">
        <v>227.12999999998883</v>
      </c>
      <c r="E28" s="2">
        <v>0.33333333333333331</v>
      </c>
    </row>
    <row r="29" spans="2:5" x14ac:dyDescent="0.3">
      <c r="B29" t="s">
        <v>35</v>
      </c>
      <c r="C29" s="2">
        <v>28</v>
      </c>
      <c r="D29" s="1">
        <v>227.1299999999963</v>
      </c>
      <c r="E29" s="2">
        <v>0.33333333333333331</v>
      </c>
    </row>
    <row r="30" spans="2:5" x14ac:dyDescent="0.3">
      <c r="B30" t="s">
        <v>35</v>
      </c>
      <c r="C30" s="2">
        <v>29</v>
      </c>
      <c r="D30" s="1">
        <v>227.12999999999877</v>
      </c>
      <c r="E30" s="2">
        <v>0.33333333333333331</v>
      </c>
    </row>
    <row r="31" spans="2:5" x14ac:dyDescent="0.3">
      <c r="B31" t="s">
        <v>35</v>
      </c>
      <c r="C31" s="2">
        <v>30</v>
      </c>
      <c r="D31" s="1">
        <v>227.1299999999996</v>
      </c>
      <c r="E31" s="2">
        <v>0.33333333333333331</v>
      </c>
    </row>
    <row r="32" spans="2:5" x14ac:dyDescent="0.3">
      <c r="B32" t="s">
        <v>35</v>
      </c>
      <c r="C32" s="2">
        <v>31</v>
      </c>
      <c r="D32" s="1">
        <v>227.12999999999985</v>
      </c>
      <c r="E32" s="2">
        <v>0.33333333333333331</v>
      </c>
    </row>
    <row r="33" spans="2:5" x14ac:dyDescent="0.3">
      <c r="B33" t="s">
        <v>35</v>
      </c>
      <c r="C33" s="2">
        <v>32</v>
      </c>
      <c r="D33" s="1">
        <v>227.12999999999994</v>
      </c>
      <c r="E33" s="2">
        <v>0.33333333333333331</v>
      </c>
    </row>
    <row r="34" spans="2:5" x14ac:dyDescent="0.3">
      <c r="B34" t="s">
        <v>35</v>
      </c>
      <c r="C34" s="2">
        <v>33</v>
      </c>
      <c r="D34" s="1">
        <v>227.13</v>
      </c>
      <c r="E34" s="2">
        <v>0.33333333333333331</v>
      </c>
    </row>
    <row r="35" spans="2:5" x14ac:dyDescent="0.3">
      <c r="B35" t="s">
        <v>35</v>
      </c>
      <c r="C35" s="2">
        <v>34</v>
      </c>
      <c r="D35" s="1">
        <v>227.13</v>
      </c>
      <c r="E35" s="2">
        <v>0.33333333333333331</v>
      </c>
    </row>
    <row r="36" spans="2:5" x14ac:dyDescent="0.3">
      <c r="B36" t="s">
        <v>35</v>
      </c>
      <c r="C36" s="2">
        <v>35</v>
      </c>
      <c r="D36" s="1">
        <v>227.13</v>
      </c>
      <c r="E36" s="2">
        <v>0.33333333333333331</v>
      </c>
    </row>
    <row r="37" spans="2:5" x14ac:dyDescent="0.3">
      <c r="B37" t="s">
        <v>35</v>
      </c>
      <c r="C37" s="2">
        <v>36</v>
      </c>
      <c r="D37" s="1">
        <v>227.13</v>
      </c>
      <c r="E37" s="2">
        <v>0.33333333333333331</v>
      </c>
    </row>
    <row r="38" spans="2:5" x14ac:dyDescent="0.3">
      <c r="B38" t="s">
        <v>35</v>
      </c>
      <c r="C38" s="2">
        <v>37</v>
      </c>
      <c r="D38" s="1">
        <v>227.13</v>
      </c>
      <c r="E38" s="2">
        <v>0.33333333333333331</v>
      </c>
    </row>
    <row r="39" spans="2:5" x14ac:dyDescent="0.3">
      <c r="B39" t="s">
        <v>35</v>
      </c>
      <c r="C39" s="2">
        <v>38</v>
      </c>
      <c r="D39" s="1">
        <v>227.13</v>
      </c>
      <c r="E39" s="2">
        <v>0.33333333333333331</v>
      </c>
    </row>
    <row r="40" spans="2:5" x14ac:dyDescent="0.3">
      <c r="B40" t="s">
        <v>35</v>
      </c>
      <c r="C40" s="2">
        <v>39</v>
      </c>
      <c r="D40" s="1">
        <v>227.13</v>
      </c>
      <c r="E40" s="2">
        <v>0.26666666666666572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0"/>
  <sheetViews>
    <sheetView workbookViewId="0">
      <selection sqref="A1:XFD104857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34</v>
      </c>
      <c r="L1" t="s">
        <v>15</v>
      </c>
    </row>
    <row r="2" spans="1:13" x14ac:dyDescent="0.3">
      <c r="A2" t="s">
        <v>37</v>
      </c>
      <c r="B2" t="s">
        <v>37</v>
      </c>
      <c r="C2" s="2">
        <v>0</v>
      </c>
      <c r="D2" s="1">
        <v>68.319938921944157</v>
      </c>
      <c r="E2" s="2">
        <v>0</v>
      </c>
      <c r="F2">
        <v>200</v>
      </c>
      <c r="G2">
        <v>1.5</v>
      </c>
      <c r="H2">
        <v>2.5</v>
      </c>
      <c r="I2">
        <v>1</v>
      </c>
      <c r="J2">
        <v>38</v>
      </c>
      <c r="K2">
        <v>25</v>
      </c>
      <c r="L2" t="s">
        <v>36</v>
      </c>
    </row>
    <row r="3" spans="1:13" x14ac:dyDescent="0.3">
      <c r="B3" t="s">
        <v>37</v>
      </c>
      <c r="C3" s="2">
        <v>0</v>
      </c>
      <c r="D3" s="1">
        <v>136.27150192202254</v>
      </c>
      <c r="E3" s="2">
        <v>0</v>
      </c>
    </row>
    <row r="4" spans="1:13" x14ac:dyDescent="0.3">
      <c r="B4" t="s">
        <v>37</v>
      </c>
      <c r="C4" s="2">
        <v>0</v>
      </c>
      <c r="D4" s="1">
        <v>176.26519756541595</v>
      </c>
      <c r="E4" s="2">
        <v>0</v>
      </c>
      <c r="G4" t="s">
        <v>18</v>
      </c>
      <c r="H4" t="s">
        <v>19</v>
      </c>
      <c r="I4" t="s">
        <v>20</v>
      </c>
      <c r="J4" t="s">
        <v>21</v>
      </c>
      <c r="K4" t="s">
        <v>22</v>
      </c>
      <c r="L4" t="s">
        <v>23</v>
      </c>
      <c r="M4" t="s">
        <v>24</v>
      </c>
    </row>
    <row r="5" spans="1:13" x14ac:dyDescent="0.3">
      <c r="B5" t="s">
        <v>37</v>
      </c>
      <c r="C5" s="2">
        <v>0.16666666666666666</v>
      </c>
      <c r="D5" s="1">
        <v>192.05910137255543</v>
      </c>
      <c r="E5" s="2">
        <v>0.16666666666666666</v>
      </c>
      <c r="G5" s="1">
        <v>200</v>
      </c>
      <c r="H5" s="3">
        <v>28.625999999999998</v>
      </c>
      <c r="I5">
        <v>3.5</v>
      </c>
      <c r="J5" s="5">
        <v>1</v>
      </c>
      <c r="K5" s="2">
        <v>0.66666666666666663</v>
      </c>
      <c r="L5">
        <v>38.799999999999997</v>
      </c>
      <c r="M5" t="s">
        <v>25</v>
      </c>
    </row>
    <row r="6" spans="1:13" x14ac:dyDescent="0.3">
      <c r="B6" t="s">
        <v>37</v>
      </c>
      <c r="C6" s="2">
        <v>0.33333333333333331</v>
      </c>
      <c r="D6" s="1">
        <v>197.43906641971432</v>
      </c>
      <c r="E6" s="2">
        <v>0.33333333333333331</v>
      </c>
    </row>
    <row r="7" spans="1:13" x14ac:dyDescent="0.3">
      <c r="B7" t="s">
        <v>37</v>
      </c>
      <c r="C7" s="2">
        <v>0.33333333333333331</v>
      </c>
      <c r="D7" s="1">
        <v>199.18389382884223</v>
      </c>
      <c r="E7" s="2">
        <v>0.33333333333333331</v>
      </c>
    </row>
    <row r="8" spans="1:13" x14ac:dyDescent="0.3">
      <c r="B8" t="s">
        <v>37</v>
      </c>
      <c r="C8" s="2">
        <v>0.33333333333333331</v>
      </c>
      <c r="D8" s="1">
        <v>199.74091588018462</v>
      </c>
      <c r="E8" s="2">
        <v>0.33333333333333331</v>
      </c>
    </row>
    <row r="9" spans="1:13" x14ac:dyDescent="0.3">
      <c r="B9" t="s">
        <v>37</v>
      </c>
      <c r="C9" s="2">
        <v>0.33333333333333331</v>
      </c>
      <c r="D9" s="1">
        <v>199.91784964616491</v>
      </c>
      <c r="E9" s="2">
        <v>0.33333333333333331</v>
      </c>
    </row>
    <row r="10" spans="1:13" x14ac:dyDescent="0.3">
      <c r="B10" t="s">
        <v>37</v>
      </c>
      <c r="C10" s="2">
        <v>0.33333333333333331</v>
      </c>
      <c r="D10" s="1">
        <v>199.9739617719118</v>
      </c>
      <c r="E10" s="2">
        <v>0.33333333333333331</v>
      </c>
    </row>
    <row r="11" spans="1:13" x14ac:dyDescent="0.3">
      <c r="B11" t="s">
        <v>37</v>
      </c>
      <c r="C11" s="2">
        <v>0.33333333333333331</v>
      </c>
      <c r="D11" s="1">
        <v>199.99174797396537</v>
      </c>
      <c r="E11" s="2">
        <v>0.33333333333333331</v>
      </c>
    </row>
    <row r="12" spans="1:13" x14ac:dyDescent="0.3">
      <c r="B12" t="s">
        <v>37</v>
      </c>
      <c r="C12" s="2">
        <v>0.33333333333333331</v>
      </c>
      <c r="D12" s="1">
        <v>199.99738487164296</v>
      </c>
      <c r="E12" s="2">
        <v>0.33333333333333331</v>
      </c>
    </row>
    <row r="13" spans="1:13" x14ac:dyDescent="0.3">
      <c r="B13" t="s">
        <v>37</v>
      </c>
      <c r="C13" s="2">
        <v>0.33333333333333331</v>
      </c>
      <c r="D13" s="1">
        <v>199.99917125651979</v>
      </c>
      <c r="E13" s="2">
        <v>0.33333333333333331</v>
      </c>
    </row>
    <row r="14" spans="1:13" x14ac:dyDescent="0.3">
      <c r="B14" t="s">
        <v>37</v>
      </c>
      <c r="C14" s="2">
        <v>0.33333333333333331</v>
      </c>
      <c r="D14" s="1">
        <v>199.99973736925946</v>
      </c>
      <c r="E14" s="2">
        <v>0.33333333333333331</v>
      </c>
    </row>
    <row r="15" spans="1:13" x14ac:dyDescent="0.3">
      <c r="B15" t="s">
        <v>37</v>
      </c>
      <c r="C15" s="2">
        <v>0.33333333333333331</v>
      </c>
      <c r="D15" s="1">
        <v>199.99999164166317</v>
      </c>
      <c r="E15" s="2">
        <v>0.33333333333333331</v>
      </c>
    </row>
    <row r="16" spans="1:13" x14ac:dyDescent="0.3">
      <c r="B16" t="s">
        <v>37</v>
      </c>
      <c r="C16" s="2">
        <v>0.33333333333333331</v>
      </c>
      <c r="D16" s="1">
        <v>199.99999735122827</v>
      </c>
      <c r="E16" s="2">
        <v>0.33333333333333331</v>
      </c>
    </row>
    <row r="17" spans="2:5" x14ac:dyDescent="0.3">
      <c r="B17" t="s">
        <v>37</v>
      </c>
      <c r="C17" s="2">
        <v>0.33333333333333331</v>
      </c>
      <c r="D17" s="1">
        <v>199.99999916059954</v>
      </c>
      <c r="E17" s="2">
        <v>0.33333333333333331</v>
      </c>
    </row>
    <row r="18" spans="2:5" x14ac:dyDescent="0.3">
      <c r="B18" t="s">
        <v>37</v>
      </c>
      <c r="C18" s="2">
        <v>0.33333333333333331</v>
      </c>
      <c r="D18" s="1">
        <v>199.9999997339925</v>
      </c>
      <c r="E18" s="2">
        <v>0.33333333333333331</v>
      </c>
    </row>
    <row r="19" spans="2:5" x14ac:dyDescent="0.3">
      <c r="B19" t="s">
        <v>37</v>
      </c>
      <c r="C19" s="2">
        <v>0.33333333333333331</v>
      </c>
      <c r="D19" s="1">
        <v>199.99999991570175</v>
      </c>
      <c r="E19" s="2">
        <v>0.33333333333333331</v>
      </c>
    </row>
    <row r="20" spans="2:5" x14ac:dyDescent="0.3">
      <c r="B20" t="s">
        <v>37</v>
      </c>
      <c r="C20" s="2">
        <v>0.33333333333333331</v>
      </c>
      <c r="D20" s="1">
        <v>199.99999997328575</v>
      </c>
      <c r="E20" s="2">
        <v>0.33333333333333331</v>
      </c>
    </row>
    <row r="21" spans="2:5" x14ac:dyDescent="0.3">
      <c r="B21" t="s">
        <v>37</v>
      </c>
      <c r="C21" s="2">
        <v>0.33333333333333331</v>
      </c>
      <c r="D21" s="1">
        <v>199.99999999153422</v>
      </c>
      <c r="E21" s="2">
        <v>0.33333333333333331</v>
      </c>
    </row>
    <row r="22" spans="2:5" x14ac:dyDescent="0.3">
      <c r="B22" t="s">
        <v>37</v>
      </c>
      <c r="C22" s="2">
        <v>0.33333333333333331</v>
      </c>
      <c r="D22" s="1">
        <v>199.99999999731716</v>
      </c>
      <c r="E22" s="2">
        <v>0.33333333333333331</v>
      </c>
    </row>
    <row r="23" spans="2:5" x14ac:dyDescent="0.3">
      <c r="B23" t="s">
        <v>37</v>
      </c>
      <c r="C23" s="2">
        <v>0.33333333333333331</v>
      </c>
      <c r="D23" s="1">
        <v>199.99999999914982</v>
      </c>
      <c r="E23" s="2">
        <v>0.33333333333333331</v>
      </c>
    </row>
    <row r="24" spans="2:5" x14ac:dyDescent="0.3">
      <c r="B24" t="s">
        <v>37</v>
      </c>
      <c r="C24" s="2">
        <v>0.33333333333333331</v>
      </c>
      <c r="D24" s="1">
        <v>199.99999999973056</v>
      </c>
      <c r="E24" s="2">
        <v>0.33333333333333331</v>
      </c>
    </row>
    <row r="25" spans="2:5" x14ac:dyDescent="0.3">
      <c r="B25" t="s">
        <v>37</v>
      </c>
      <c r="C25" s="2">
        <v>0.33333333333333331</v>
      </c>
      <c r="D25" s="1">
        <v>199.99999999991462</v>
      </c>
      <c r="E25" s="2">
        <v>0.33333333333333331</v>
      </c>
    </row>
    <row r="26" spans="2:5" x14ac:dyDescent="0.3">
      <c r="B26" t="s">
        <v>37</v>
      </c>
      <c r="C26" s="2">
        <v>0.33333333333333331</v>
      </c>
      <c r="D26" s="1">
        <v>199.99999999997294</v>
      </c>
      <c r="E26" s="2">
        <v>0.33333333333333331</v>
      </c>
    </row>
    <row r="27" spans="2:5" x14ac:dyDescent="0.3">
      <c r="B27" t="s">
        <v>37</v>
      </c>
      <c r="C27" s="2">
        <v>0.33333333333333331</v>
      </c>
      <c r="D27">
        <v>199.99999999999145</v>
      </c>
      <c r="E27" s="2">
        <v>0.33333333333333331</v>
      </c>
    </row>
    <row r="28" spans="2:5" x14ac:dyDescent="0.3">
      <c r="B28" t="s">
        <v>37</v>
      </c>
      <c r="C28" s="2">
        <v>0.33333333333333331</v>
      </c>
      <c r="D28">
        <v>199.99999999999727</v>
      </c>
      <c r="E28" s="2">
        <v>0.33333333333333331</v>
      </c>
    </row>
    <row r="29" spans="2:5" x14ac:dyDescent="0.3">
      <c r="B29" t="s">
        <v>37</v>
      </c>
      <c r="C29" s="2">
        <v>0.33333333333333331</v>
      </c>
      <c r="D29">
        <v>199.99999999999912</v>
      </c>
      <c r="E29" s="2">
        <v>0.33333333333333331</v>
      </c>
    </row>
    <row r="30" spans="2:5" x14ac:dyDescent="0.3">
      <c r="B30" t="s">
        <v>37</v>
      </c>
      <c r="C30" s="2">
        <v>0.33333333333333331</v>
      </c>
      <c r="D30">
        <v>199.99999999999972</v>
      </c>
      <c r="E30" s="2">
        <v>0.33333333333333331</v>
      </c>
    </row>
    <row r="31" spans="2:5" x14ac:dyDescent="0.3">
      <c r="B31" t="s">
        <v>37</v>
      </c>
      <c r="C31" s="2">
        <v>0.33333333333333331</v>
      </c>
      <c r="D31">
        <v>199.99999999999989</v>
      </c>
      <c r="E31" s="2">
        <v>0.33333333333333331</v>
      </c>
    </row>
    <row r="32" spans="2:5" x14ac:dyDescent="0.3">
      <c r="B32" t="s">
        <v>37</v>
      </c>
      <c r="C32" s="2">
        <v>0.33333333333333331</v>
      </c>
      <c r="D32">
        <v>199.99999999999994</v>
      </c>
      <c r="E32" s="2">
        <v>0.33333333333333331</v>
      </c>
    </row>
    <row r="33" spans="2:5" x14ac:dyDescent="0.3">
      <c r="B33" t="s">
        <v>37</v>
      </c>
      <c r="C33" s="2">
        <v>0.33333333333333331</v>
      </c>
      <c r="D33">
        <v>200</v>
      </c>
      <c r="E33" s="2">
        <v>0.33333333333333331</v>
      </c>
    </row>
    <row r="34" spans="2:5" x14ac:dyDescent="0.3">
      <c r="B34" t="s">
        <v>37</v>
      </c>
      <c r="C34" s="2">
        <v>0.33333333333333331</v>
      </c>
      <c r="D34">
        <v>200</v>
      </c>
      <c r="E34" s="2">
        <v>0.33333333333333331</v>
      </c>
    </row>
    <row r="35" spans="2:5" x14ac:dyDescent="0.3">
      <c r="B35" t="s">
        <v>37</v>
      </c>
      <c r="C35" s="2">
        <v>0.33333333333333331</v>
      </c>
      <c r="D35">
        <v>200</v>
      </c>
      <c r="E35" s="2">
        <v>0.33333333333333331</v>
      </c>
    </row>
    <row r="36" spans="2:5" x14ac:dyDescent="0.3">
      <c r="B36" t="s">
        <v>37</v>
      </c>
      <c r="C36" s="2">
        <v>0.33333333333333331</v>
      </c>
      <c r="D36">
        <v>200</v>
      </c>
      <c r="E36" s="2">
        <v>0.33333333333333331</v>
      </c>
    </row>
    <row r="37" spans="2:5" x14ac:dyDescent="0.3">
      <c r="B37" t="s">
        <v>37</v>
      </c>
      <c r="C37" s="2">
        <v>0.33333333333333331</v>
      </c>
      <c r="D37">
        <v>200</v>
      </c>
      <c r="E37" s="2">
        <v>0.33333333333333331</v>
      </c>
    </row>
    <row r="38" spans="2:5" x14ac:dyDescent="0.3">
      <c r="B38" t="s">
        <v>37</v>
      </c>
      <c r="C38" s="2">
        <v>0.33333333333333331</v>
      </c>
      <c r="D38">
        <v>200</v>
      </c>
      <c r="E38" s="2">
        <v>0.33333333333333331</v>
      </c>
    </row>
    <row r="39" spans="2:5" x14ac:dyDescent="0.3">
      <c r="B39" t="s">
        <v>37</v>
      </c>
      <c r="C39" s="2">
        <v>0.33333333333333331</v>
      </c>
      <c r="D39">
        <v>200</v>
      </c>
      <c r="E39" s="2">
        <v>0.33333333333333331</v>
      </c>
    </row>
    <row r="40" spans="2:5" x14ac:dyDescent="0.3">
      <c r="B40" t="s">
        <v>37</v>
      </c>
      <c r="C40" s="2">
        <v>0.26666666666666572</v>
      </c>
      <c r="D40">
        <v>200</v>
      </c>
      <c r="E40" s="2">
        <v>0.26666666666666572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8"/>
  <sheetViews>
    <sheetView workbookViewId="0">
      <selection sqref="A1:XFD104857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34</v>
      </c>
      <c r="L1" t="s">
        <v>15</v>
      </c>
    </row>
    <row r="2" spans="1:13" x14ac:dyDescent="0.3">
      <c r="A2" t="s">
        <v>38</v>
      </c>
      <c r="B2" t="s">
        <v>38</v>
      </c>
      <c r="C2" s="2">
        <v>1</v>
      </c>
      <c r="D2" s="1">
        <v>99.151882994823012</v>
      </c>
      <c r="E2" s="2">
        <v>0</v>
      </c>
      <c r="F2">
        <v>131</v>
      </c>
      <c r="G2">
        <v>1.48</v>
      </c>
      <c r="H2">
        <v>2.5</v>
      </c>
      <c r="I2">
        <v>1</v>
      </c>
      <c r="J2">
        <v>10</v>
      </c>
      <c r="K2">
        <v>25</v>
      </c>
      <c r="L2" t="s">
        <v>36</v>
      </c>
    </row>
    <row r="3" spans="1:13" x14ac:dyDescent="0.3">
      <c r="B3" t="s">
        <v>38</v>
      </c>
      <c r="C3" s="2">
        <v>2</v>
      </c>
      <c r="D3" s="1">
        <v>121.2985011688213</v>
      </c>
      <c r="E3" s="2">
        <v>0</v>
      </c>
    </row>
    <row r="4" spans="1:13" x14ac:dyDescent="0.3">
      <c r="B4" t="s">
        <v>38</v>
      </c>
      <c r="C4" s="2">
        <v>3</v>
      </c>
      <c r="D4" s="1">
        <v>128.44693555452832</v>
      </c>
      <c r="E4" s="2">
        <v>0.13611710958904102</v>
      </c>
      <c r="G4" t="s">
        <v>18</v>
      </c>
      <c r="H4" t="s">
        <v>19</v>
      </c>
      <c r="I4" t="s">
        <v>20</v>
      </c>
      <c r="J4" t="s">
        <v>21</v>
      </c>
      <c r="K4" t="s">
        <v>22</v>
      </c>
      <c r="L4" t="s">
        <v>23</v>
      </c>
      <c r="M4" t="s">
        <v>24</v>
      </c>
    </row>
    <row r="5" spans="1:13" x14ac:dyDescent="0.3">
      <c r="B5" t="s">
        <v>38</v>
      </c>
      <c r="C5" s="2">
        <v>4</v>
      </c>
      <c r="D5" s="1">
        <v>130.48194430474791</v>
      </c>
      <c r="E5" s="2">
        <v>0.49050000000000005</v>
      </c>
      <c r="G5" s="6">
        <v>131.25</v>
      </c>
      <c r="H5" s="3">
        <v>82.558199999999999</v>
      </c>
      <c r="I5" s="7">
        <v>2.7224931506849317</v>
      </c>
      <c r="J5">
        <v>1.0900000000000001</v>
      </c>
      <c r="K5">
        <v>0.9</v>
      </c>
      <c r="L5">
        <v>26.8</v>
      </c>
      <c r="M5" t="s">
        <v>39</v>
      </c>
    </row>
    <row r="6" spans="1:13" x14ac:dyDescent="0.3">
      <c r="B6" t="s">
        <v>38</v>
      </c>
      <c r="C6" s="2">
        <v>5</v>
      </c>
      <c r="D6" s="1">
        <v>131.04114207496124</v>
      </c>
      <c r="E6" s="2">
        <v>0.49050000000000005</v>
      </c>
    </row>
    <row r="7" spans="1:13" x14ac:dyDescent="0.3">
      <c r="B7" t="s">
        <v>38</v>
      </c>
      <c r="C7" s="2">
        <v>6</v>
      </c>
      <c r="D7" s="1">
        <v>131.19332256416331</v>
      </c>
      <c r="E7" s="2">
        <v>0.49050000000000005</v>
      </c>
    </row>
    <row r="8" spans="1:13" x14ac:dyDescent="0.3">
      <c r="B8" t="s">
        <v>38</v>
      </c>
      <c r="C8" s="2">
        <v>7</v>
      </c>
      <c r="D8" s="1">
        <v>131.23462817705692</v>
      </c>
      <c r="E8" s="2">
        <v>0.49050000000000005</v>
      </c>
    </row>
    <row r="9" spans="1:13" x14ac:dyDescent="0.3">
      <c r="B9" t="s">
        <v>38</v>
      </c>
      <c r="C9" s="2">
        <v>8</v>
      </c>
      <c r="D9" s="1">
        <v>131.24583155232278</v>
      </c>
      <c r="E9" s="2">
        <v>0.49050000000000005</v>
      </c>
    </row>
    <row r="10" spans="1:13" x14ac:dyDescent="0.3">
      <c r="B10" t="s">
        <v>38</v>
      </c>
      <c r="C10" s="2">
        <v>9</v>
      </c>
      <c r="D10" s="1">
        <v>131.24886966966312</v>
      </c>
      <c r="E10" s="2">
        <v>0.49050000000000005</v>
      </c>
    </row>
    <row r="11" spans="1:13" x14ac:dyDescent="0.3">
      <c r="B11" t="s">
        <v>38</v>
      </c>
      <c r="C11" s="2">
        <v>10</v>
      </c>
      <c r="D11" s="1">
        <v>131.24969349924754</v>
      </c>
      <c r="E11" s="2">
        <v>0.49050000000000005</v>
      </c>
    </row>
    <row r="12" spans="1:13" x14ac:dyDescent="0.3">
      <c r="B12" t="s">
        <v>38</v>
      </c>
      <c r="C12" s="2">
        <v>11</v>
      </c>
      <c r="D12" s="1">
        <v>131.24991688940599</v>
      </c>
      <c r="E12" s="2">
        <v>0.49050000000000005</v>
      </c>
    </row>
    <row r="13" spans="1:13" x14ac:dyDescent="0.3">
      <c r="B13" t="s">
        <v>38</v>
      </c>
      <c r="C13" s="2">
        <v>12</v>
      </c>
      <c r="D13" s="1">
        <v>131.24997746379057</v>
      </c>
      <c r="E13" s="2">
        <v>0.49050000000000005</v>
      </c>
    </row>
    <row r="14" spans="1:13" x14ac:dyDescent="0.3">
      <c r="B14" t="s">
        <v>38</v>
      </c>
      <c r="C14" s="2">
        <v>13</v>
      </c>
      <c r="D14" s="1">
        <v>131.24999388909887</v>
      </c>
      <c r="E14" s="2">
        <v>0.49050000000000005</v>
      </c>
    </row>
    <row r="15" spans="1:13" x14ac:dyDescent="0.3">
      <c r="B15" t="s">
        <v>38</v>
      </c>
      <c r="C15" s="2">
        <v>14</v>
      </c>
      <c r="D15" s="1">
        <v>131.24999987816321</v>
      </c>
      <c r="E15" s="2">
        <v>0.49050000000000005</v>
      </c>
    </row>
    <row r="16" spans="1:13" x14ac:dyDescent="0.3">
      <c r="B16" t="s">
        <v>38</v>
      </c>
      <c r="C16" s="2">
        <v>15</v>
      </c>
      <c r="D16" s="1">
        <v>131.24999996696283</v>
      </c>
      <c r="E16" s="2">
        <v>0.49050000000000005</v>
      </c>
    </row>
    <row r="17" spans="2:5" x14ac:dyDescent="0.3">
      <c r="B17" t="s">
        <v>38</v>
      </c>
      <c r="C17" s="2">
        <v>16</v>
      </c>
      <c r="D17" s="1">
        <v>131.24999999104168</v>
      </c>
      <c r="E17" s="2">
        <v>0.49050000000000005</v>
      </c>
    </row>
    <row r="18" spans="2:5" x14ac:dyDescent="0.3">
      <c r="B18" t="s">
        <v>38</v>
      </c>
      <c r="C18" s="2">
        <v>17</v>
      </c>
      <c r="D18" s="1">
        <v>131.24999999757088</v>
      </c>
      <c r="E18" s="2">
        <v>0.49050000000000005</v>
      </c>
    </row>
    <row r="19" spans="2:5" x14ac:dyDescent="0.3">
      <c r="B19" t="s">
        <v>38</v>
      </c>
      <c r="C19" s="2">
        <v>18</v>
      </c>
      <c r="D19" s="1">
        <v>131.24999999934133</v>
      </c>
      <c r="E19" s="2">
        <v>0.49050000000000005</v>
      </c>
    </row>
    <row r="20" spans="2:5" x14ac:dyDescent="0.3">
      <c r="B20" t="s">
        <v>38</v>
      </c>
      <c r="C20" s="2">
        <v>19</v>
      </c>
      <c r="D20" s="1">
        <v>131.2499999998214</v>
      </c>
      <c r="E20" s="2">
        <v>0.49050000000000005</v>
      </c>
    </row>
    <row r="21" spans="2:5" x14ac:dyDescent="0.3">
      <c r="B21" t="s">
        <v>38</v>
      </c>
      <c r="C21" s="2">
        <v>20</v>
      </c>
      <c r="D21" s="1">
        <v>131.24999999995157</v>
      </c>
      <c r="E21" s="2">
        <v>0.49050000000000005</v>
      </c>
    </row>
    <row r="22" spans="2:5" x14ac:dyDescent="0.3">
      <c r="B22" t="s">
        <v>38</v>
      </c>
      <c r="C22" s="2">
        <v>21</v>
      </c>
      <c r="D22" s="1">
        <v>131.24999999998687</v>
      </c>
      <c r="E22" s="2">
        <v>0.49050000000000005</v>
      </c>
    </row>
    <row r="23" spans="2:5" x14ac:dyDescent="0.3">
      <c r="B23" t="s">
        <v>38</v>
      </c>
      <c r="C23" s="2">
        <v>22</v>
      </c>
      <c r="D23" s="1">
        <v>131.24999999999645</v>
      </c>
      <c r="E23" s="2">
        <v>0.49050000000000005</v>
      </c>
    </row>
    <row r="24" spans="2:5" x14ac:dyDescent="0.3">
      <c r="B24" t="s">
        <v>38</v>
      </c>
      <c r="C24" s="2">
        <v>23</v>
      </c>
      <c r="D24" s="1">
        <v>131.24999999999903</v>
      </c>
      <c r="E24" s="2">
        <v>0.49050000000000005</v>
      </c>
    </row>
    <row r="25" spans="2:5" x14ac:dyDescent="0.3">
      <c r="B25" t="s">
        <v>38</v>
      </c>
      <c r="C25" s="2">
        <v>24</v>
      </c>
      <c r="D25" s="1">
        <v>131.24999999999974</v>
      </c>
      <c r="E25" s="2">
        <v>0.49050000000000005</v>
      </c>
    </row>
    <row r="26" spans="2:5" x14ac:dyDescent="0.3">
      <c r="B26" t="s">
        <v>38</v>
      </c>
      <c r="C26" s="2">
        <v>25</v>
      </c>
      <c r="D26" s="1">
        <v>131.24999999999994</v>
      </c>
      <c r="E26" s="2">
        <v>0.49050000000000005</v>
      </c>
    </row>
    <row r="27" spans="2:5" x14ac:dyDescent="0.3">
      <c r="B27" t="s">
        <v>38</v>
      </c>
      <c r="C27" s="2">
        <v>26</v>
      </c>
      <c r="D27" s="1">
        <v>131.24999999999997</v>
      </c>
      <c r="E27" s="2">
        <v>0.49050000000000005</v>
      </c>
    </row>
    <row r="28" spans="2:5" x14ac:dyDescent="0.3">
      <c r="B28" t="s">
        <v>38</v>
      </c>
      <c r="C28" s="2">
        <v>27</v>
      </c>
      <c r="D28" s="1">
        <v>131.25</v>
      </c>
      <c r="E28" s="2">
        <v>0.39240000000000036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2"/>
  <sheetViews>
    <sheetView workbookViewId="0">
      <selection activeCell="A2" sqref="A2"/>
    </sheetView>
  </sheetViews>
  <sheetFormatPr defaultColWidth="11.44140625" defaultRowHeight="14.4" x14ac:dyDescent="0.3"/>
  <cols>
    <col min="5" max="5" width="12.44140625" bestFit="1" customWidth="1"/>
  </cols>
  <sheetData>
    <row r="1" spans="1:13" x14ac:dyDescent="0.3">
      <c r="A1" t="s">
        <v>6</v>
      </c>
      <c r="B1" t="s">
        <v>7</v>
      </c>
      <c r="C1" t="s">
        <v>8</v>
      </c>
      <c r="D1" t="s">
        <v>9</v>
      </c>
      <c r="E1" t="s">
        <v>10</v>
      </c>
      <c r="F1" t="s">
        <v>27</v>
      </c>
      <c r="G1" t="s">
        <v>28</v>
      </c>
      <c r="H1" t="s">
        <v>29</v>
      </c>
      <c r="I1" t="s">
        <v>30</v>
      </c>
      <c r="J1" t="s">
        <v>31</v>
      </c>
      <c r="K1" t="s">
        <v>34</v>
      </c>
      <c r="L1" t="s">
        <v>15</v>
      </c>
    </row>
    <row r="2" spans="1:13" x14ac:dyDescent="0.3">
      <c r="A2" t="s">
        <v>40</v>
      </c>
      <c r="B2" t="s">
        <v>40</v>
      </c>
      <c r="C2" s="2">
        <v>1</v>
      </c>
      <c r="D2" s="1">
        <v>15.986811682570901</v>
      </c>
      <c r="E2" s="2">
        <v>0.49224657534246558</v>
      </c>
      <c r="F2">
        <v>101</v>
      </c>
      <c r="G2">
        <v>1</v>
      </c>
      <c r="H2">
        <v>0.9</v>
      </c>
      <c r="I2">
        <v>4</v>
      </c>
      <c r="J2">
        <v>0.9</v>
      </c>
      <c r="K2">
        <v>25</v>
      </c>
      <c r="L2" t="s">
        <v>41</v>
      </c>
    </row>
    <row r="3" spans="1:13" x14ac:dyDescent="0.3">
      <c r="B3" t="s">
        <v>40</v>
      </c>
      <c r="C3" s="2">
        <v>2</v>
      </c>
      <c r="D3" s="1">
        <v>53.520937562438498</v>
      </c>
      <c r="E3" s="2">
        <v>3.3899999999999997</v>
      </c>
    </row>
    <row r="4" spans="1:13" x14ac:dyDescent="0.3">
      <c r="B4" t="s">
        <v>40</v>
      </c>
      <c r="C4" s="2">
        <v>3</v>
      </c>
      <c r="D4" s="1">
        <v>85.057773299052556</v>
      </c>
      <c r="E4" s="2">
        <v>3.3899999999999997</v>
      </c>
      <c r="G4" t="s">
        <v>18</v>
      </c>
      <c r="H4" t="s">
        <v>19</v>
      </c>
      <c r="I4" t="s">
        <v>20</v>
      </c>
      <c r="J4" t="s">
        <v>21</v>
      </c>
      <c r="K4" t="s">
        <v>22</v>
      </c>
      <c r="L4" t="s">
        <v>23</v>
      </c>
      <c r="M4" t="s">
        <v>24</v>
      </c>
    </row>
    <row r="5" spans="1:13" x14ac:dyDescent="0.3">
      <c r="B5" t="s">
        <v>40</v>
      </c>
      <c r="C5" s="2">
        <v>4</v>
      </c>
      <c r="D5" s="1">
        <v>96.794050612910439</v>
      </c>
      <c r="E5" s="2">
        <v>3.3899999999999997</v>
      </c>
      <c r="G5" s="6">
        <v>101.0521</v>
      </c>
      <c r="H5" s="3">
        <v>0.80776999999999999</v>
      </c>
      <c r="I5" s="7">
        <v>0.85479452054794525</v>
      </c>
      <c r="J5">
        <v>4.5199999999999996</v>
      </c>
      <c r="K5">
        <v>1.5</v>
      </c>
      <c r="L5">
        <v>21</v>
      </c>
      <c r="M5" t="s">
        <v>39</v>
      </c>
    </row>
    <row r="6" spans="1:13" x14ac:dyDescent="0.3">
      <c r="B6" t="s">
        <v>40</v>
      </c>
      <c r="C6" s="2">
        <v>5</v>
      </c>
      <c r="D6" s="1">
        <v>99.991523386983488</v>
      </c>
      <c r="E6" s="2">
        <v>3.3899999999999997</v>
      </c>
    </row>
    <row r="7" spans="1:13" x14ac:dyDescent="0.3">
      <c r="B7" t="s">
        <v>40</v>
      </c>
      <c r="C7" s="2">
        <v>6</v>
      </c>
      <c r="D7" s="1">
        <v>100.79234076154759</v>
      </c>
      <c r="E7" s="2">
        <v>3.3899999999999997</v>
      </c>
    </row>
    <row r="8" spans="1:13" x14ac:dyDescent="0.3">
      <c r="B8" t="s">
        <v>40</v>
      </c>
      <c r="C8" s="2">
        <v>7</v>
      </c>
      <c r="D8" s="1">
        <v>100.98874139248476</v>
      </c>
      <c r="E8" s="2">
        <v>3.3899999999999997</v>
      </c>
    </row>
    <row r="9" spans="1:13" x14ac:dyDescent="0.3">
      <c r="B9" t="s">
        <v>40</v>
      </c>
      <c r="C9" s="2">
        <v>8</v>
      </c>
      <c r="D9" s="1">
        <v>101.03666160168079</v>
      </c>
      <c r="E9" s="2">
        <v>3.3899999999999997</v>
      </c>
    </row>
    <row r="10" spans="1:13" x14ac:dyDescent="0.3">
      <c r="B10" t="s">
        <v>40</v>
      </c>
      <c r="C10" s="2">
        <v>9</v>
      </c>
      <c r="D10" s="1">
        <v>101.04833909717246</v>
      </c>
      <c r="E10" s="2">
        <v>3.3899999999999997</v>
      </c>
    </row>
    <row r="11" spans="1:13" x14ac:dyDescent="0.3">
      <c r="B11" t="s">
        <v>40</v>
      </c>
      <c r="C11" s="2">
        <v>10</v>
      </c>
      <c r="D11" s="1">
        <v>101.0511838723782</v>
      </c>
      <c r="E11" s="2">
        <v>3.3899999999999997</v>
      </c>
    </row>
    <row r="12" spans="1:13" x14ac:dyDescent="0.3">
      <c r="B12" t="s">
        <v>40</v>
      </c>
      <c r="C12" s="2">
        <v>11</v>
      </c>
      <c r="D12" s="1">
        <v>101.05187684146182</v>
      </c>
      <c r="E12" s="2">
        <v>3.3899999999999997</v>
      </c>
    </row>
    <row r="13" spans="1:13" x14ac:dyDescent="0.3">
      <c r="B13" t="s">
        <v>40</v>
      </c>
      <c r="C13" s="2">
        <v>12</v>
      </c>
      <c r="D13" s="1">
        <v>101.05204564124578</v>
      </c>
      <c r="E13" s="2">
        <v>3.3899999999999997</v>
      </c>
    </row>
    <row r="14" spans="1:13" x14ac:dyDescent="0.3">
      <c r="B14" t="s">
        <v>40</v>
      </c>
      <c r="C14" s="2">
        <v>13</v>
      </c>
      <c r="D14" s="1">
        <v>101.05208675886826</v>
      </c>
      <c r="E14" s="2">
        <v>3.3899999999999997</v>
      </c>
    </row>
    <row r="15" spans="1:13" x14ac:dyDescent="0.3">
      <c r="B15" t="s">
        <v>40</v>
      </c>
      <c r="C15" s="2">
        <v>14</v>
      </c>
      <c r="D15" s="1">
        <v>101.05209980862216</v>
      </c>
      <c r="E15" s="2">
        <v>3.3899999999999997</v>
      </c>
    </row>
    <row r="16" spans="1:13" x14ac:dyDescent="0.3">
      <c r="B16" t="s">
        <v>40</v>
      </c>
      <c r="C16" s="2">
        <v>15</v>
      </c>
      <c r="D16" s="1">
        <v>101.05209995338269</v>
      </c>
      <c r="E16" s="2">
        <v>3.3899999999999997</v>
      </c>
    </row>
    <row r="17" spans="2:5" x14ac:dyDescent="0.3">
      <c r="B17" t="s">
        <v>40</v>
      </c>
      <c r="C17" s="2">
        <v>16</v>
      </c>
      <c r="D17" s="1">
        <v>101.0520999886446</v>
      </c>
      <c r="E17" s="2">
        <v>3.3899999999999997</v>
      </c>
    </row>
    <row r="18" spans="2:5" x14ac:dyDescent="0.3">
      <c r="B18" t="s">
        <v>40</v>
      </c>
      <c r="C18" s="2">
        <v>17</v>
      </c>
      <c r="D18" s="1">
        <v>101.05209999723395</v>
      </c>
      <c r="E18" s="2">
        <v>3.3899999999999997</v>
      </c>
    </row>
    <row r="19" spans="2:5" x14ac:dyDescent="0.3">
      <c r="B19" t="s">
        <v>40</v>
      </c>
      <c r="C19" s="2">
        <v>18</v>
      </c>
      <c r="D19" s="1">
        <v>101.05209999932622</v>
      </c>
      <c r="E19" s="2">
        <v>3.3899999999999997</v>
      </c>
    </row>
    <row r="20" spans="2:5" x14ac:dyDescent="0.3">
      <c r="B20" t="s">
        <v>40</v>
      </c>
      <c r="C20" s="2">
        <v>19</v>
      </c>
      <c r="D20" s="1">
        <v>101.05209999983586</v>
      </c>
      <c r="E20" s="2">
        <v>3.3899999999999997</v>
      </c>
    </row>
    <row r="21" spans="2:5" x14ac:dyDescent="0.3">
      <c r="B21" t="s">
        <v>40</v>
      </c>
      <c r="C21" s="2">
        <v>20</v>
      </c>
      <c r="D21" s="1">
        <v>101.05209999996002</v>
      </c>
      <c r="E21" s="2">
        <v>3.3899999999999997</v>
      </c>
    </row>
    <row r="22" spans="2:5" x14ac:dyDescent="0.3">
      <c r="B22" t="s">
        <v>40</v>
      </c>
      <c r="C22" s="2">
        <v>21</v>
      </c>
      <c r="D22" s="1">
        <v>101.05209999999026</v>
      </c>
      <c r="E22" s="2">
        <v>3.3899999999999997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9"/>
  <sheetViews>
    <sheetView workbookViewId="0">
      <selection sqref="A1:XFD104857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34</v>
      </c>
      <c r="L1" t="s">
        <v>15</v>
      </c>
    </row>
    <row r="2" spans="1:13" x14ac:dyDescent="0.3">
      <c r="A2" t="s">
        <v>44</v>
      </c>
      <c r="B2" t="s">
        <v>44</v>
      </c>
      <c r="C2" s="2">
        <v>1</v>
      </c>
      <c r="D2" s="1">
        <v>8.8009364983548064</v>
      </c>
      <c r="E2" s="2">
        <v>0</v>
      </c>
      <c r="F2">
        <v>22.5</v>
      </c>
      <c r="G2">
        <v>1</v>
      </c>
      <c r="H2">
        <v>2</v>
      </c>
      <c r="I2">
        <v>1.6</v>
      </c>
      <c r="J2">
        <v>1</v>
      </c>
      <c r="K2">
        <v>15</v>
      </c>
      <c r="L2" t="s">
        <v>36</v>
      </c>
    </row>
    <row r="3" spans="1:13" x14ac:dyDescent="0.3">
      <c r="B3" t="s">
        <v>44</v>
      </c>
      <c r="C3" s="2">
        <v>2</v>
      </c>
      <c r="D3" s="1">
        <v>19.067458537354185</v>
      </c>
      <c r="E3" s="2">
        <v>0</v>
      </c>
    </row>
    <row r="4" spans="1:13" x14ac:dyDescent="0.3">
      <c r="B4" t="s">
        <v>44</v>
      </c>
      <c r="C4" s="2">
        <v>3</v>
      </c>
      <c r="D4" s="1">
        <v>22.079103756903262</v>
      </c>
      <c r="E4" s="2">
        <v>0.98450000000000015</v>
      </c>
      <c r="G4" t="s">
        <v>18</v>
      </c>
      <c r="H4" t="s">
        <v>19</v>
      </c>
      <c r="I4" t="s">
        <v>20</v>
      </c>
      <c r="J4" t="s">
        <v>21</v>
      </c>
      <c r="K4" t="s">
        <v>22</v>
      </c>
      <c r="L4" t="s">
        <v>23</v>
      </c>
      <c r="M4" t="s">
        <v>24</v>
      </c>
    </row>
    <row r="5" spans="1:13" x14ac:dyDescent="0.3">
      <c r="B5" t="s">
        <v>44</v>
      </c>
      <c r="C5" s="2">
        <v>4</v>
      </c>
      <c r="D5" s="1">
        <v>22.453784402301849</v>
      </c>
      <c r="E5" s="2">
        <v>0.98450000000000015</v>
      </c>
      <c r="G5" s="6">
        <v>22.5</v>
      </c>
      <c r="H5" s="3">
        <v>1.20855</v>
      </c>
      <c r="I5">
        <v>2</v>
      </c>
      <c r="J5">
        <v>1.79</v>
      </c>
      <c r="K5">
        <v>1.1000000000000001</v>
      </c>
      <c r="L5">
        <v>17</v>
      </c>
      <c r="M5" t="s">
        <v>39</v>
      </c>
    </row>
    <row r="6" spans="1:13" x14ac:dyDescent="0.3">
      <c r="B6" t="s">
        <v>44</v>
      </c>
      <c r="C6" s="2">
        <v>5</v>
      </c>
      <c r="D6" s="1">
        <v>22.494987888891011</v>
      </c>
      <c r="E6" s="2">
        <v>0.98450000000000015</v>
      </c>
    </row>
    <row r="7" spans="1:13" x14ac:dyDescent="0.3">
      <c r="B7" t="s">
        <v>44</v>
      </c>
      <c r="C7" s="2">
        <v>6</v>
      </c>
      <c r="D7" s="1">
        <v>22.499457165007058</v>
      </c>
      <c r="E7" s="2">
        <v>0.98450000000000015</v>
      </c>
    </row>
    <row r="8" spans="1:13" x14ac:dyDescent="0.3">
      <c r="B8" t="s">
        <v>44</v>
      </c>
      <c r="C8" s="2">
        <v>7</v>
      </c>
      <c r="D8" s="1">
        <v>22.499941217018328</v>
      </c>
      <c r="E8" s="2">
        <v>0.98450000000000015</v>
      </c>
    </row>
    <row r="9" spans="1:13" x14ac:dyDescent="0.3">
      <c r="B9" t="s">
        <v>44</v>
      </c>
      <c r="C9" s="2">
        <v>8</v>
      </c>
      <c r="D9" s="1">
        <v>22.499993634558606</v>
      </c>
      <c r="E9" s="2">
        <v>0.98450000000000015</v>
      </c>
    </row>
    <row r="10" spans="1:13" x14ac:dyDescent="0.3">
      <c r="B10" t="s">
        <v>44</v>
      </c>
      <c r="C10" s="2">
        <v>9</v>
      </c>
      <c r="D10" s="1">
        <v>22.499999310705686</v>
      </c>
      <c r="E10" s="2">
        <v>0.98450000000000015</v>
      </c>
    </row>
    <row r="11" spans="1:13" x14ac:dyDescent="0.3">
      <c r="B11" t="s">
        <v>44</v>
      </c>
      <c r="C11" s="2">
        <v>10</v>
      </c>
      <c r="D11" s="1">
        <v>22.499999925358424</v>
      </c>
      <c r="E11" s="2">
        <v>0.98450000000000015</v>
      </c>
    </row>
    <row r="12" spans="1:13" x14ac:dyDescent="0.3">
      <c r="B12" t="s">
        <v>44</v>
      </c>
      <c r="C12" s="2">
        <v>11</v>
      </c>
      <c r="D12" s="1">
        <v>22.499999991917292</v>
      </c>
      <c r="E12" s="2">
        <v>0.98450000000000015</v>
      </c>
    </row>
    <row r="13" spans="1:13" x14ac:dyDescent="0.3">
      <c r="B13" t="s">
        <v>44</v>
      </c>
      <c r="C13" s="2">
        <v>12</v>
      </c>
      <c r="D13" s="1">
        <v>22.49999999912475</v>
      </c>
      <c r="E13" s="2">
        <v>0.98450000000000015</v>
      </c>
    </row>
    <row r="14" spans="1:13" x14ac:dyDescent="0.3">
      <c r="B14" t="s">
        <v>44</v>
      </c>
      <c r="C14" s="2">
        <v>13</v>
      </c>
      <c r="D14" s="1">
        <v>22.499999999905224</v>
      </c>
      <c r="E14" s="2">
        <v>0.98450000000000015</v>
      </c>
    </row>
    <row r="15" spans="1:13" x14ac:dyDescent="0.3">
      <c r="B15" t="s">
        <v>44</v>
      </c>
      <c r="C15" s="2">
        <v>14</v>
      </c>
      <c r="D15" s="1">
        <v>22.499999999989736</v>
      </c>
      <c r="E15" s="2">
        <v>0.98450000000000015</v>
      </c>
    </row>
    <row r="16" spans="1:13" x14ac:dyDescent="0.3">
      <c r="B16" t="s">
        <v>44</v>
      </c>
      <c r="C16" s="2">
        <v>15</v>
      </c>
      <c r="D16" s="1">
        <v>22.499999999998888</v>
      </c>
      <c r="E16" s="2">
        <v>0.98450000000000015</v>
      </c>
    </row>
    <row r="17" spans="2:5" x14ac:dyDescent="0.3">
      <c r="B17" t="s">
        <v>44</v>
      </c>
      <c r="C17" s="2">
        <v>16</v>
      </c>
      <c r="D17" s="1">
        <v>22.499999999999879</v>
      </c>
      <c r="E17" s="2">
        <v>0.98450000000000015</v>
      </c>
    </row>
    <row r="18" spans="2:5" x14ac:dyDescent="0.3">
      <c r="B18" t="s">
        <v>44</v>
      </c>
      <c r="C18" s="2">
        <v>17</v>
      </c>
      <c r="D18" s="1">
        <v>22.499999999999986</v>
      </c>
      <c r="E18" s="2">
        <v>0.98450000000000015</v>
      </c>
    </row>
    <row r="19" spans="2:5" x14ac:dyDescent="0.3">
      <c r="C19" s="2"/>
      <c r="D19"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1"/>
  <sheetViews>
    <sheetView workbookViewId="0">
      <selection sqref="A1:XFD104857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34</v>
      </c>
      <c r="L1" t="s">
        <v>15</v>
      </c>
    </row>
    <row r="2" spans="1:13" x14ac:dyDescent="0.3">
      <c r="A2" t="s">
        <v>42</v>
      </c>
      <c r="B2" t="s">
        <v>42</v>
      </c>
      <c r="C2" s="2">
        <v>1</v>
      </c>
      <c r="D2" s="1">
        <v>16.667147221196778</v>
      </c>
      <c r="E2" s="2">
        <v>0</v>
      </c>
      <c r="F2">
        <v>50</v>
      </c>
      <c r="G2">
        <v>1</v>
      </c>
      <c r="H2">
        <v>2</v>
      </c>
      <c r="I2">
        <v>1.5</v>
      </c>
      <c r="J2">
        <v>2</v>
      </c>
      <c r="K2">
        <v>12</v>
      </c>
      <c r="L2" t="s">
        <v>36</v>
      </c>
    </row>
    <row r="3" spans="1:13" x14ac:dyDescent="0.3">
      <c r="B3" t="s">
        <v>42</v>
      </c>
      <c r="C3" s="2">
        <v>2</v>
      </c>
      <c r="D3" s="1">
        <v>38.144142902455059</v>
      </c>
      <c r="E3" s="2">
        <v>0</v>
      </c>
    </row>
    <row r="4" spans="1:13" x14ac:dyDescent="0.3">
      <c r="B4" t="s">
        <v>42</v>
      </c>
      <c r="C4" s="2">
        <v>3</v>
      </c>
      <c r="D4" s="1">
        <v>47.552513773839486</v>
      </c>
      <c r="E4" s="2">
        <v>0</v>
      </c>
      <c r="G4" t="s">
        <v>18</v>
      </c>
      <c r="H4" t="s">
        <v>19</v>
      </c>
      <c r="I4" t="s">
        <v>20</v>
      </c>
      <c r="J4" t="s">
        <v>21</v>
      </c>
      <c r="K4" t="s">
        <v>22</v>
      </c>
      <c r="L4" t="s">
        <v>23</v>
      </c>
      <c r="M4" t="s">
        <v>24</v>
      </c>
    </row>
    <row r="5" spans="1:13" x14ac:dyDescent="0.3">
      <c r="B5" t="s">
        <v>42</v>
      </c>
      <c r="C5" s="2">
        <v>4</v>
      </c>
      <c r="D5" s="1">
        <v>49.559816528643907</v>
      </c>
      <c r="E5" s="2">
        <v>0.60500000000000009</v>
      </c>
      <c r="G5" s="8">
        <v>50</v>
      </c>
      <c r="H5">
        <v>2.9</v>
      </c>
      <c r="I5" s="7">
        <v>3</v>
      </c>
      <c r="J5">
        <v>1.1000000000000001</v>
      </c>
      <c r="K5">
        <v>1.1000000000000001</v>
      </c>
      <c r="L5">
        <v>16</v>
      </c>
      <c r="M5" t="s">
        <v>39</v>
      </c>
    </row>
    <row r="6" spans="1:13" x14ac:dyDescent="0.3">
      <c r="B6" t="s">
        <v>42</v>
      </c>
      <c r="C6" s="2">
        <v>5</v>
      </c>
      <c r="D6" s="1">
        <v>49.922830365514791</v>
      </c>
      <c r="E6" s="2">
        <v>0.60500000000000009</v>
      </c>
    </row>
    <row r="7" spans="1:13" x14ac:dyDescent="0.3">
      <c r="B7" t="s">
        <v>42</v>
      </c>
      <c r="C7" s="2">
        <v>6</v>
      </c>
      <c r="D7" s="1">
        <v>49.986531995795943</v>
      </c>
      <c r="E7" s="2">
        <v>0.60500000000000009</v>
      </c>
    </row>
    <row r="8" spans="1:13" x14ac:dyDescent="0.3">
      <c r="B8" t="s">
        <v>42</v>
      </c>
      <c r="C8" s="2">
        <v>7</v>
      </c>
      <c r="D8" s="1">
        <v>49.997651349514449</v>
      </c>
      <c r="E8" s="2">
        <v>0.60500000000000009</v>
      </c>
    </row>
    <row r="9" spans="1:13" x14ac:dyDescent="0.3">
      <c r="B9" t="s">
        <v>42</v>
      </c>
      <c r="C9" s="2">
        <v>8</v>
      </c>
      <c r="D9" s="1">
        <v>49.999590481097982</v>
      </c>
      <c r="E9" s="2">
        <v>0.60500000000000009</v>
      </c>
    </row>
    <row r="10" spans="1:13" x14ac:dyDescent="0.3">
      <c r="B10" t="s">
        <v>42</v>
      </c>
      <c r="C10" s="2">
        <v>9</v>
      </c>
      <c r="D10" s="1">
        <v>49.999928596562206</v>
      </c>
      <c r="E10" s="2">
        <v>0.60500000000000009</v>
      </c>
    </row>
    <row r="11" spans="1:13" x14ac:dyDescent="0.3">
      <c r="B11" t="s">
        <v>42</v>
      </c>
      <c r="C11" s="2">
        <v>10</v>
      </c>
      <c r="D11" s="1">
        <v>49.999987550196977</v>
      </c>
      <c r="E11" s="2">
        <v>0.60500000000000009</v>
      </c>
    </row>
    <row r="12" spans="1:13" x14ac:dyDescent="0.3">
      <c r="B12" t="s">
        <v>42</v>
      </c>
      <c r="C12" s="2">
        <v>11</v>
      </c>
      <c r="D12" s="1">
        <v>49.999997829271429</v>
      </c>
      <c r="E12" s="2">
        <v>0.60500000000000009</v>
      </c>
    </row>
    <row r="13" spans="1:13" x14ac:dyDescent="0.3">
      <c r="B13" t="s">
        <v>42</v>
      </c>
      <c r="C13" s="2">
        <v>12</v>
      </c>
      <c r="D13" s="1">
        <v>49.999999621515137</v>
      </c>
      <c r="E13" s="2">
        <v>0.60500000000000009</v>
      </c>
    </row>
    <row r="14" spans="1:13" x14ac:dyDescent="0.3">
      <c r="B14" t="s">
        <v>42</v>
      </c>
      <c r="C14" s="2">
        <v>13</v>
      </c>
      <c r="D14" s="1">
        <v>49.999999934007967</v>
      </c>
      <c r="E14" s="2">
        <v>0.60500000000000009</v>
      </c>
    </row>
    <row r="15" spans="1:13" x14ac:dyDescent="0.3">
      <c r="B15" t="s">
        <v>42</v>
      </c>
      <c r="C15" s="2">
        <v>14</v>
      </c>
      <c r="D15" s="1">
        <v>49.999999988493727</v>
      </c>
      <c r="E15" s="2">
        <v>0.60500000000000009</v>
      </c>
    </row>
    <row r="16" spans="1:13" x14ac:dyDescent="0.3">
      <c r="B16" t="s">
        <v>42</v>
      </c>
      <c r="C16" s="2">
        <v>15</v>
      </c>
      <c r="D16" s="1">
        <v>49.999999997993783</v>
      </c>
      <c r="E16" s="2">
        <v>0.60500000000000009</v>
      </c>
    </row>
    <row r="17" spans="2:5" x14ac:dyDescent="0.3">
      <c r="B17" t="s">
        <v>42</v>
      </c>
      <c r="C17" s="2">
        <v>16</v>
      </c>
      <c r="D17" s="1">
        <v>49.9999999996502</v>
      </c>
      <c r="E17" s="2">
        <v>0.60500000000000009</v>
      </c>
    </row>
    <row r="18" spans="2:5" x14ac:dyDescent="0.3">
      <c r="C18" s="2"/>
      <c r="D18" s="1"/>
    </row>
    <row r="19" spans="2:5" x14ac:dyDescent="0.3">
      <c r="C19" s="2"/>
      <c r="D19" s="1"/>
    </row>
    <row r="20" spans="2:5" x14ac:dyDescent="0.3">
      <c r="C20" s="2"/>
      <c r="D20" s="1"/>
    </row>
    <row r="21" spans="2:5" x14ac:dyDescent="0.3">
      <c r="C21" s="2"/>
      <c r="D21"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3"/>
  <sheetViews>
    <sheetView workbookViewId="0">
      <selection activeCell="K5" sqref="J5:K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34</v>
      </c>
      <c r="L1" t="s">
        <v>15</v>
      </c>
    </row>
    <row r="2" spans="1:13" x14ac:dyDescent="0.3">
      <c r="A2" t="s">
        <v>43</v>
      </c>
      <c r="B2" t="s">
        <v>43</v>
      </c>
      <c r="C2" s="2">
        <v>1</v>
      </c>
      <c r="D2" s="7">
        <v>10.864723226836455</v>
      </c>
      <c r="E2" s="2">
        <v>0</v>
      </c>
      <c r="F2">
        <v>26</v>
      </c>
      <c r="G2">
        <v>0.54</v>
      </c>
      <c r="H2">
        <v>2</v>
      </c>
      <c r="I2">
        <v>1</v>
      </c>
      <c r="J2">
        <v>2.4</v>
      </c>
      <c r="K2">
        <v>10</v>
      </c>
      <c r="L2" t="s">
        <v>36</v>
      </c>
    </row>
    <row r="3" spans="1:13" x14ac:dyDescent="0.3">
      <c r="B3" t="s">
        <v>43</v>
      </c>
      <c r="C3" s="2">
        <v>2</v>
      </c>
      <c r="D3" s="7">
        <v>22.341824014286498</v>
      </c>
      <c r="E3" s="2">
        <v>0</v>
      </c>
    </row>
    <row r="4" spans="1:13" x14ac:dyDescent="0.3">
      <c r="B4" t="s">
        <v>43</v>
      </c>
      <c r="C4" s="2">
        <v>3</v>
      </c>
      <c r="D4" s="7">
        <v>25.597809431057861</v>
      </c>
      <c r="E4" s="2">
        <v>0</v>
      </c>
      <c r="G4" t="s">
        <v>18</v>
      </c>
      <c r="H4" t="s">
        <v>19</v>
      </c>
      <c r="I4" t="s">
        <v>20</v>
      </c>
      <c r="J4" t="s">
        <v>21</v>
      </c>
      <c r="K4" t="s">
        <v>22</v>
      </c>
      <c r="L4" t="s">
        <v>23</v>
      </c>
      <c r="M4" t="s">
        <v>24</v>
      </c>
    </row>
    <row r="5" spans="1:13" x14ac:dyDescent="0.3">
      <c r="B5" t="s">
        <v>43</v>
      </c>
      <c r="C5" s="2">
        <v>4</v>
      </c>
      <c r="D5" s="7">
        <v>26.039216004937785</v>
      </c>
      <c r="E5" s="2">
        <v>0.13750000000000001</v>
      </c>
      <c r="G5" s="6">
        <v>26.1</v>
      </c>
      <c r="H5" s="3">
        <v>2.25</v>
      </c>
      <c r="I5" s="7">
        <v>3.75</v>
      </c>
      <c r="J5">
        <v>1</v>
      </c>
      <c r="K5">
        <v>1.1000000000000001</v>
      </c>
      <c r="L5">
        <v>22</v>
      </c>
      <c r="M5" t="s">
        <v>39</v>
      </c>
    </row>
    <row r="6" spans="1:13" x14ac:dyDescent="0.3">
      <c r="B6" t="s">
        <v>43</v>
      </c>
      <c r="C6" s="2">
        <v>5</v>
      </c>
      <c r="D6" s="7">
        <v>26.092732167988455</v>
      </c>
      <c r="E6" s="2">
        <v>0.55000000000000004</v>
      </c>
    </row>
    <row r="7" spans="1:13" x14ac:dyDescent="0.3">
      <c r="B7" t="s">
        <v>43</v>
      </c>
      <c r="C7" s="2">
        <v>6</v>
      </c>
      <c r="D7" s="7">
        <v>26.099132269739727</v>
      </c>
      <c r="E7" s="2">
        <v>0.55000000000000004</v>
      </c>
    </row>
    <row r="8" spans="1:13" x14ac:dyDescent="0.3">
      <c r="B8" t="s">
        <v>43</v>
      </c>
      <c r="C8" s="2">
        <v>7</v>
      </c>
      <c r="D8" s="7">
        <v>26.099896416954248</v>
      </c>
      <c r="E8" s="2">
        <v>0.55000000000000004</v>
      </c>
    </row>
    <row r="9" spans="1:13" x14ac:dyDescent="0.3">
      <c r="B9" t="s">
        <v>43</v>
      </c>
      <c r="C9" s="2">
        <v>8</v>
      </c>
      <c r="D9" s="7">
        <v>26.099987635301051</v>
      </c>
      <c r="E9" s="2">
        <v>0.55000000000000004</v>
      </c>
    </row>
    <row r="10" spans="1:13" x14ac:dyDescent="0.3">
      <c r="B10" t="s">
        <v>43</v>
      </c>
      <c r="C10" s="2">
        <v>9</v>
      </c>
      <c r="D10" s="7">
        <v>26.099998524030664</v>
      </c>
      <c r="E10" s="2">
        <v>0.55000000000000004</v>
      </c>
    </row>
    <row r="11" spans="1:13" x14ac:dyDescent="0.3">
      <c r="B11" t="s">
        <v>43</v>
      </c>
      <c r="C11" s="2">
        <v>10</v>
      </c>
      <c r="D11" s="7">
        <v>26.099999823814162</v>
      </c>
      <c r="E11" s="2">
        <v>0.55000000000000004</v>
      </c>
    </row>
    <row r="12" spans="1:13" x14ac:dyDescent="0.3">
      <c r="B12" t="s">
        <v>43</v>
      </c>
      <c r="C12" s="2">
        <v>11</v>
      </c>
      <c r="D12" s="7">
        <v>26.099999978968771</v>
      </c>
      <c r="E12" s="2">
        <v>0.55000000000000004</v>
      </c>
    </row>
    <row r="13" spans="1:13" x14ac:dyDescent="0.3">
      <c r="B13" t="s">
        <v>43</v>
      </c>
      <c r="C13" s="2">
        <v>12</v>
      </c>
      <c r="D13" s="7">
        <v>26.099999997489512</v>
      </c>
      <c r="E13" s="2">
        <v>0.55000000000000004</v>
      </c>
    </row>
    <row r="14" spans="1:13" x14ac:dyDescent="0.3">
      <c r="B14" t="s">
        <v>43</v>
      </c>
      <c r="C14" s="2">
        <v>13</v>
      </c>
      <c r="D14" s="7">
        <v>26.099999999700326</v>
      </c>
      <c r="E14" s="2">
        <v>0.55000000000000004</v>
      </c>
    </row>
    <row r="15" spans="1:13" x14ac:dyDescent="0.3">
      <c r="B15" t="s">
        <v>43</v>
      </c>
      <c r="C15" s="2">
        <v>14</v>
      </c>
      <c r="D15" s="7">
        <v>26.099999999964229</v>
      </c>
      <c r="E15" s="2">
        <v>0.55000000000000004</v>
      </c>
    </row>
    <row r="16" spans="1:13" x14ac:dyDescent="0.3">
      <c r="B16" t="s">
        <v>43</v>
      </c>
      <c r="C16" s="2">
        <v>15</v>
      </c>
      <c r="D16" s="7">
        <v>26.099999999995728</v>
      </c>
      <c r="E16" s="2">
        <v>0.55000000000000004</v>
      </c>
    </row>
    <row r="17" spans="2:5" x14ac:dyDescent="0.3">
      <c r="B17" t="s">
        <v>43</v>
      </c>
      <c r="C17" s="2">
        <v>16</v>
      </c>
      <c r="D17" s="7">
        <v>26.09999999999949</v>
      </c>
      <c r="E17" s="2">
        <v>0.55000000000000004</v>
      </c>
    </row>
    <row r="18" spans="2:5" x14ac:dyDescent="0.3">
      <c r="B18" t="s">
        <v>43</v>
      </c>
      <c r="C18" s="2">
        <v>17</v>
      </c>
      <c r="D18" s="7">
        <v>26.099999999999941</v>
      </c>
      <c r="E18" s="2">
        <v>0.55000000000000004</v>
      </c>
    </row>
    <row r="19" spans="2:5" x14ac:dyDescent="0.3">
      <c r="B19" t="s">
        <v>43</v>
      </c>
      <c r="C19" s="2">
        <v>18</v>
      </c>
      <c r="D19" s="7">
        <v>26.099999999999994</v>
      </c>
      <c r="E19" s="2">
        <v>0.55000000000000004</v>
      </c>
    </row>
    <row r="20" spans="2:5" x14ac:dyDescent="0.3">
      <c r="B20" t="s">
        <v>43</v>
      </c>
      <c r="C20" s="2">
        <v>19</v>
      </c>
      <c r="D20" s="7">
        <v>26.1</v>
      </c>
      <c r="E20" s="2">
        <v>0.55000000000000004</v>
      </c>
    </row>
    <row r="21" spans="2:5" x14ac:dyDescent="0.3">
      <c r="B21" t="s">
        <v>43</v>
      </c>
      <c r="C21" s="2">
        <v>20</v>
      </c>
      <c r="D21" s="7">
        <v>26.1</v>
      </c>
      <c r="E21" s="2">
        <v>0.55000000000000004</v>
      </c>
    </row>
    <row r="22" spans="2:5" x14ac:dyDescent="0.3">
      <c r="B22" t="s">
        <v>43</v>
      </c>
      <c r="C22" s="2">
        <v>21</v>
      </c>
      <c r="D22" s="7">
        <v>26.1</v>
      </c>
      <c r="E22" s="2">
        <v>0.55000000000000004</v>
      </c>
    </row>
    <row r="23" spans="2:5" x14ac:dyDescent="0.3">
      <c r="B23" t="s">
        <v>43</v>
      </c>
      <c r="C23" s="2">
        <v>22</v>
      </c>
      <c r="D23" s="7">
        <v>26.1</v>
      </c>
      <c r="E23" s="2">
        <v>0.55000000000000004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9"/>
  <sheetViews>
    <sheetView workbookViewId="0">
      <selection sqref="A1:XFD1048576"/>
    </sheetView>
  </sheetViews>
  <sheetFormatPr defaultColWidth="11.44140625" defaultRowHeight="14.4" x14ac:dyDescent="0.3"/>
  <sheetData>
    <row r="1" spans="1:13" x14ac:dyDescent="0.3">
      <c r="A1" t="s">
        <v>6</v>
      </c>
      <c r="B1" t="s">
        <v>7</v>
      </c>
      <c r="C1" t="s">
        <v>8</v>
      </c>
      <c r="D1" t="s">
        <v>9</v>
      </c>
      <c r="E1" t="s">
        <v>10</v>
      </c>
      <c r="F1" t="s">
        <v>27</v>
      </c>
      <c r="G1" t="s">
        <v>28</v>
      </c>
      <c r="H1" t="s">
        <v>29</v>
      </c>
      <c r="I1" t="s">
        <v>30</v>
      </c>
      <c r="J1" t="s">
        <v>31</v>
      </c>
      <c r="K1" t="s">
        <v>34</v>
      </c>
      <c r="L1" t="s">
        <v>15</v>
      </c>
    </row>
    <row r="2" spans="1:13" x14ac:dyDescent="0.3">
      <c r="A2" t="s">
        <v>45</v>
      </c>
      <c r="B2" t="s">
        <v>45</v>
      </c>
      <c r="C2" s="2">
        <v>1</v>
      </c>
      <c r="D2" s="2">
        <v>0.96262692965386154</v>
      </c>
      <c r="E2">
        <v>0.9</v>
      </c>
      <c r="F2">
        <v>2</v>
      </c>
      <c r="G2">
        <v>0.2</v>
      </c>
      <c r="H2">
        <v>2</v>
      </c>
      <c r="I2">
        <v>4.3</v>
      </c>
      <c r="J2">
        <v>0.5</v>
      </c>
      <c r="K2">
        <v>8</v>
      </c>
      <c r="L2" t="s">
        <v>36</v>
      </c>
      <c r="M2">
        <v>7.8602153424657502</v>
      </c>
    </row>
    <row r="3" spans="1:13" x14ac:dyDescent="0.3">
      <c r="B3" t="s">
        <v>45</v>
      </c>
      <c r="C3" s="2">
        <v>2</v>
      </c>
      <c r="D3" s="2">
        <v>1.9218693539698786</v>
      </c>
      <c r="E3">
        <v>11.790000000000001</v>
      </c>
    </row>
    <row r="4" spans="1:13" x14ac:dyDescent="0.3">
      <c r="B4" t="s">
        <v>45</v>
      </c>
      <c r="C4" s="2">
        <v>3</v>
      </c>
      <c r="D4" s="2">
        <v>1.9579440414066094</v>
      </c>
      <c r="E4">
        <v>11.790000000000001</v>
      </c>
      <c r="G4" t="s">
        <v>18</v>
      </c>
      <c r="H4" t="s">
        <v>19</v>
      </c>
      <c r="I4" t="s">
        <v>20</v>
      </c>
      <c r="J4" t="s">
        <v>21</v>
      </c>
      <c r="K4" t="s">
        <v>22</v>
      </c>
      <c r="L4" t="s">
        <v>23</v>
      </c>
      <c r="M4" t="s">
        <v>24</v>
      </c>
    </row>
    <row r="5" spans="1:13" x14ac:dyDescent="0.3">
      <c r="B5" t="s">
        <v>45</v>
      </c>
      <c r="C5" s="2">
        <v>4</v>
      </c>
      <c r="D5" s="2">
        <v>1.9582965846378302</v>
      </c>
      <c r="E5">
        <v>11.790000000000001</v>
      </c>
      <c r="G5" s="9">
        <v>1.9582999999999999</v>
      </c>
      <c r="H5" s="3">
        <v>3.9109999999999999E-2</v>
      </c>
      <c r="I5" s="7">
        <f>121.66/365</f>
        <v>0.33331506849315068</v>
      </c>
      <c r="J5">
        <v>5.24</v>
      </c>
      <c r="K5">
        <v>4.5</v>
      </c>
      <c r="L5">
        <f>216/12</f>
        <v>18</v>
      </c>
      <c r="M5" t="s">
        <v>39</v>
      </c>
    </row>
    <row r="6" spans="1:13" x14ac:dyDescent="0.3">
      <c r="B6" t="s">
        <v>45</v>
      </c>
      <c r="C6" s="2">
        <v>5</v>
      </c>
      <c r="D6" s="2">
        <v>1.9582999672359138</v>
      </c>
      <c r="E6">
        <v>11.790000000000001</v>
      </c>
    </row>
    <row r="7" spans="1:13" x14ac:dyDescent="0.3">
      <c r="B7" t="s">
        <v>45</v>
      </c>
      <c r="C7" s="2">
        <v>6</v>
      </c>
      <c r="D7" s="2">
        <v>1.9582999996856898</v>
      </c>
      <c r="E7">
        <v>11.790000000000001</v>
      </c>
    </row>
    <row r="8" spans="1:13" x14ac:dyDescent="0.3">
      <c r="B8" t="s">
        <v>45</v>
      </c>
      <c r="C8" s="2">
        <v>7</v>
      </c>
      <c r="D8" s="2">
        <v>1.9582999999969848</v>
      </c>
      <c r="E8">
        <v>11.790000000000001</v>
      </c>
    </row>
    <row r="9" spans="1:13" x14ac:dyDescent="0.3">
      <c r="B9" t="s">
        <v>45</v>
      </c>
      <c r="C9" s="2">
        <v>8</v>
      </c>
      <c r="D9" s="2">
        <v>1.9582999999999711</v>
      </c>
      <c r="E9">
        <v>11.790000000000001</v>
      </c>
    </row>
    <row r="10" spans="1:13" x14ac:dyDescent="0.3">
      <c r="B10" t="s">
        <v>45</v>
      </c>
      <c r="C10" s="2">
        <v>9</v>
      </c>
      <c r="D10" s="2">
        <v>1.9582999999999997</v>
      </c>
      <c r="E10">
        <v>11.790000000000001</v>
      </c>
    </row>
    <row r="11" spans="1:13" x14ac:dyDescent="0.3">
      <c r="B11" t="s">
        <v>45</v>
      </c>
      <c r="C11" s="2">
        <v>10</v>
      </c>
      <c r="D11" s="2">
        <v>1.9582999999999999</v>
      </c>
      <c r="E11">
        <v>11.790000000000001</v>
      </c>
    </row>
    <row r="12" spans="1:13" x14ac:dyDescent="0.3">
      <c r="B12" t="s">
        <v>45</v>
      </c>
      <c r="C12" s="2">
        <v>11</v>
      </c>
      <c r="D12" s="2">
        <v>1.9582999999999999</v>
      </c>
      <c r="E12">
        <v>11.790000000000001</v>
      </c>
    </row>
    <row r="13" spans="1:13" x14ac:dyDescent="0.3">
      <c r="B13" t="s">
        <v>45</v>
      </c>
      <c r="C13" s="2">
        <v>12</v>
      </c>
      <c r="D13" s="2">
        <v>1.9582999999999999</v>
      </c>
      <c r="E13">
        <v>11.790000000000001</v>
      </c>
    </row>
    <row r="14" spans="1:13" x14ac:dyDescent="0.3">
      <c r="B14" t="s">
        <v>45</v>
      </c>
      <c r="C14" s="2">
        <v>13</v>
      </c>
      <c r="D14" s="2">
        <v>1.9582999999999999</v>
      </c>
      <c r="E14">
        <v>11.790000000000001</v>
      </c>
    </row>
    <row r="15" spans="1:13" x14ac:dyDescent="0.3">
      <c r="B15" t="s">
        <v>45</v>
      </c>
      <c r="C15" s="2">
        <v>14</v>
      </c>
      <c r="D15" s="2">
        <v>1.9582999999999999</v>
      </c>
      <c r="E15">
        <v>11.790000000000001</v>
      </c>
    </row>
    <row r="16" spans="1:13" x14ac:dyDescent="0.3">
      <c r="B16" t="s">
        <v>45</v>
      </c>
      <c r="C16" s="2">
        <v>15</v>
      </c>
      <c r="D16" s="2">
        <v>1.9582999999999999</v>
      </c>
      <c r="E16">
        <v>11.790000000000001</v>
      </c>
    </row>
    <row r="17" spans="2:5" x14ac:dyDescent="0.3">
      <c r="B17" t="s">
        <v>45</v>
      </c>
      <c r="C17" s="2">
        <v>16</v>
      </c>
      <c r="D17" s="2">
        <v>1.9582999999999999</v>
      </c>
      <c r="E17">
        <v>11.790000000000001</v>
      </c>
    </row>
    <row r="18" spans="2:5" x14ac:dyDescent="0.3">
      <c r="B18" t="s">
        <v>45</v>
      </c>
      <c r="C18" s="2">
        <v>17</v>
      </c>
      <c r="D18" s="2">
        <v>1.9582999999999999</v>
      </c>
      <c r="E18">
        <v>11.790000000000001</v>
      </c>
    </row>
    <row r="19" spans="2:5" x14ac:dyDescent="0.3">
      <c r="B19" t="s">
        <v>45</v>
      </c>
      <c r="C19" s="2">
        <v>18</v>
      </c>
      <c r="D19" s="2">
        <v>1.9582999999999999</v>
      </c>
      <c r="E19">
        <v>11.790000000000001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5EEA-7371-482E-B7F5-76CA880A5FDC}">
  <dimension ref="A1:M5"/>
  <sheetViews>
    <sheetView workbookViewId="0">
      <selection activeCell="G20" sqref="G20"/>
    </sheetView>
  </sheetViews>
  <sheetFormatPr defaultColWidth="11.5546875" defaultRowHeight="14.4" x14ac:dyDescent="0.3"/>
  <sheetData>
    <row r="1" spans="1:13" x14ac:dyDescent="0.3">
      <c r="A1" t="s">
        <v>6</v>
      </c>
      <c r="B1" t="s">
        <v>7</v>
      </c>
      <c r="C1" t="s">
        <v>8</v>
      </c>
      <c r="D1" t="s">
        <v>9</v>
      </c>
      <c r="E1" t="s">
        <v>10</v>
      </c>
      <c r="F1" t="s">
        <v>27</v>
      </c>
      <c r="G1" t="s">
        <v>28</v>
      </c>
      <c r="H1" t="s">
        <v>29</v>
      </c>
      <c r="I1" t="s">
        <v>30</v>
      </c>
      <c r="J1" t="s">
        <v>31</v>
      </c>
      <c r="K1" t="s">
        <v>34</v>
      </c>
      <c r="L1" t="s">
        <v>15</v>
      </c>
    </row>
    <row r="2" spans="1:13" x14ac:dyDescent="0.3">
      <c r="A2" t="s">
        <v>123</v>
      </c>
      <c r="B2" t="s">
        <v>123</v>
      </c>
      <c r="C2">
        <v>1</v>
      </c>
      <c r="D2">
        <v>1.07</v>
      </c>
      <c r="E2">
        <v>0.9</v>
      </c>
      <c r="F2">
        <v>2.2999999999999998</v>
      </c>
      <c r="G2">
        <v>1.85</v>
      </c>
      <c r="H2">
        <v>2</v>
      </c>
      <c r="I2">
        <v>2</v>
      </c>
      <c r="J2">
        <v>0.5</v>
      </c>
      <c r="K2">
        <v>4</v>
      </c>
      <c r="L2" t="s">
        <v>124</v>
      </c>
    </row>
    <row r="3" spans="1:13" x14ac:dyDescent="0.3">
      <c r="B3" t="s">
        <v>123</v>
      </c>
      <c r="C3">
        <v>2</v>
      </c>
      <c r="D3">
        <v>2.21</v>
      </c>
      <c r="E3">
        <v>4.7080000000000011</v>
      </c>
    </row>
    <row r="4" spans="1:13" x14ac:dyDescent="0.3">
      <c r="B4" t="s">
        <v>123</v>
      </c>
      <c r="C4">
        <v>3</v>
      </c>
      <c r="D4">
        <v>2.2999999999999998</v>
      </c>
      <c r="E4">
        <v>4.7080000000000011</v>
      </c>
      <c r="G4" t="s">
        <v>18</v>
      </c>
      <c r="H4" t="s">
        <v>19</v>
      </c>
      <c r="I4" t="s">
        <v>20</v>
      </c>
      <c r="J4" t="s">
        <v>21</v>
      </c>
      <c r="K4" t="s">
        <v>22</v>
      </c>
      <c r="L4" t="s">
        <v>23</v>
      </c>
      <c r="M4" t="s">
        <v>24</v>
      </c>
    </row>
    <row r="5" spans="1:13" x14ac:dyDescent="0.3">
      <c r="B5" t="s">
        <v>123</v>
      </c>
      <c r="C5">
        <v>4</v>
      </c>
      <c r="D5">
        <v>2.2999999999999998</v>
      </c>
      <c r="E5">
        <v>4.7080000000000011</v>
      </c>
      <c r="G5">
        <v>2.2999999999999998</v>
      </c>
      <c r="H5">
        <v>0.123</v>
      </c>
      <c r="I5">
        <v>0.69298630136986306</v>
      </c>
      <c r="J5">
        <v>2.09</v>
      </c>
      <c r="K5">
        <v>4.4000000000000004</v>
      </c>
      <c r="L5">
        <v>3.5</v>
      </c>
      <c r="M5" t="s">
        <v>125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3C92-D9E2-4E8F-B0F4-34F59D3D9E52}">
  <dimension ref="A1:O24"/>
  <sheetViews>
    <sheetView workbookViewId="0">
      <selection activeCell="L1" activeCellId="3" sqref="I1:I1048576 J1:J1048576 K1:K1048576 L1:L1048576"/>
    </sheetView>
  </sheetViews>
  <sheetFormatPr defaultColWidth="11.5546875" defaultRowHeight="14.4" x14ac:dyDescent="0.3"/>
  <cols>
    <col min="1" max="1" width="12.33203125" style="10" bestFit="1" customWidth="1"/>
    <col min="3" max="3" width="21" bestFit="1" customWidth="1"/>
    <col min="4" max="4" width="12" bestFit="1" customWidth="1"/>
  </cols>
  <sheetData>
    <row r="1" spans="1:15" x14ac:dyDescent="0.3">
      <c r="A1" s="10" t="s">
        <v>15</v>
      </c>
      <c r="B1" t="s">
        <v>108</v>
      </c>
      <c r="C1" t="s">
        <v>0</v>
      </c>
      <c r="D1" t="s">
        <v>1</v>
      </c>
      <c r="F1" t="s">
        <v>47</v>
      </c>
      <c r="G1" t="s">
        <v>48</v>
      </c>
      <c r="H1" t="s">
        <v>49</v>
      </c>
      <c r="N1" t="s">
        <v>24</v>
      </c>
      <c r="O1" t="s">
        <v>111</v>
      </c>
    </row>
    <row r="2" spans="1:15" x14ac:dyDescent="0.3">
      <c r="A2" s="10">
        <v>1</v>
      </c>
      <c r="B2" t="s">
        <v>109</v>
      </c>
      <c r="C2" t="s">
        <v>50</v>
      </c>
      <c r="D2">
        <v>6000</v>
      </c>
      <c r="F2" t="s">
        <v>52</v>
      </c>
      <c r="G2" s="2">
        <v>557.11861911007202</v>
      </c>
      <c r="H2" s="2">
        <v>8.7960699842072199</v>
      </c>
      <c r="I2" s="2"/>
      <c r="J2" s="2"/>
      <c r="K2" s="2"/>
      <c r="L2" s="2"/>
      <c r="M2">
        <v>1</v>
      </c>
      <c r="N2" t="s">
        <v>83</v>
      </c>
    </row>
    <row r="3" spans="1:15" x14ac:dyDescent="0.3">
      <c r="A3" s="10" t="s">
        <v>121</v>
      </c>
      <c r="B3" t="s">
        <v>109</v>
      </c>
      <c r="C3" t="s">
        <v>51</v>
      </c>
      <c r="D3">
        <v>227.13</v>
      </c>
      <c r="F3" t="s">
        <v>54</v>
      </c>
      <c r="G3" s="2">
        <v>558.88319399572401</v>
      </c>
      <c r="H3" s="2">
        <v>16.868694077459502</v>
      </c>
      <c r="I3" s="2"/>
      <c r="J3" s="2"/>
      <c r="K3" s="2"/>
      <c r="L3" s="2"/>
      <c r="M3">
        <v>2</v>
      </c>
      <c r="N3" t="s">
        <v>82</v>
      </c>
    </row>
    <row r="4" spans="1:15" x14ac:dyDescent="0.3">
      <c r="A4" s="10" t="s">
        <v>103</v>
      </c>
      <c r="B4" t="s">
        <v>110</v>
      </c>
      <c r="C4" t="s">
        <v>53</v>
      </c>
      <c r="D4">
        <v>200</v>
      </c>
      <c r="F4" t="s">
        <v>56</v>
      </c>
      <c r="G4" s="2">
        <v>603.15891496416202</v>
      </c>
      <c r="H4" s="2">
        <v>34.095736321815103</v>
      </c>
      <c r="I4" s="2"/>
      <c r="J4" s="2"/>
      <c r="K4" s="2"/>
      <c r="L4" s="2"/>
      <c r="M4">
        <v>3</v>
      </c>
      <c r="N4" t="s">
        <v>90</v>
      </c>
    </row>
    <row r="5" spans="1:15" x14ac:dyDescent="0.3">
      <c r="A5" s="10">
        <v>1</v>
      </c>
      <c r="B5" t="s">
        <v>109</v>
      </c>
      <c r="C5" t="s">
        <v>55</v>
      </c>
      <c r="D5">
        <v>950</v>
      </c>
      <c r="F5" t="s">
        <v>58</v>
      </c>
      <c r="G5" s="2">
        <v>617.87710174024301</v>
      </c>
      <c r="H5" s="2">
        <v>20.989402155231499</v>
      </c>
      <c r="I5" s="2"/>
      <c r="J5" s="2"/>
      <c r="K5" s="2"/>
      <c r="L5" s="2"/>
      <c r="M5">
        <v>4</v>
      </c>
      <c r="N5" t="s">
        <v>92</v>
      </c>
    </row>
    <row r="6" spans="1:15" x14ac:dyDescent="0.3">
      <c r="A6" s="10" t="s">
        <v>96</v>
      </c>
      <c r="B6" t="s">
        <v>110</v>
      </c>
      <c r="C6" t="s">
        <v>57</v>
      </c>
      <c r="D6">
        <v>900</v>
      </c>
      <c r="F6" t="s">
        <v>120</v>
      </c>
      <c r="G6" s="2">
        <v>599.39911656279799</v>
      </c>
      <c r="H6" s="2">
        <v>23.926611688782</v>
      </c>
      <c r="I6" s="2"/>
      <c r="J6" s="2"/>
      <c r="K6" s="2"/>
      <c r="L6" s="2"/>
      <c r="M6">
        <v>5</v>
      </c>
      <c r="N6" t="s">
        <v>93</v>
      </c>
    </row>
    <row r="7" spans="1:15" x14ac:dyDescent="0.3">
      <c r="A7" s="10" t="s">
        <v>117</v>
      </c>
      <c r="B7" t="s">
        <v>110</v>
      </c>
      <c r="C7" t="s">
        <v>59</v>
      </c>
      <c r="D7">
        <v>131.25</v>
      </c>
      <c r="M7">
        <v>6</v>
      </c>
      <c r="N7" t="s">
        <v>97</v>
      </c>
    </row>
    <row r="8" spans="1:15" x14ac:dyDescent="0.3">
      <c r="A8" s="10" t="s">
        <v>98</v>
      </c>
      <c r="B8" t="s">
        <v>110</v>
      </c>
      <c r="C8" t="s">
        <v>60</v>
      </c>
      <c r="D8">
        <v>22.5</v>
      </c>
      <c r="M8">
        <v>7</v>
      </c>
      <c r="N8" t="s">
        <v>100</v>
      </c>
    </row>
    <row r="9" spans="1:15" x14ac:dyDescent="0.3">
      <c r="A9" s="10" t="s">
        <v>116</v>
      </c>
      <c r="B9" t="s">
        <v>110</v>
      </c>
      <c r="C9" t="s">
        <v>61</v>
      </c>
      <c r="D9">
        <v>63.388833333333331</v>
      </c>
      <c r="M9">
        <v>8</v>
      </c>
      <c r="N9" t="s">
        <v>101</v>
      </c>
    </row>
    <row r="10" spans="1:15" x14ac:dyDescent="0.3">
      <c r="A10" s="10" t="s">
        <v>115</v>
      </c>
      <c r="B10" t="s">
        <v>110</v>
      </c>
      <c r="C10" t="s">
        <v>62</v>
      </c>
      <c r="D10">
        <v>28.05</v>
      </c>
      <c r="M10">
        <v>9</v>
      </c>
      <c r="N10" t="s">
        <v>102</v>
      </c>
    </row>
    <row r="11" spans="1:15" x14ac:dyDescent="0.3">
      <c r="A11" s="10" t="s">
        <v>104</v>
      </c>
      <c r="B11" t="s">
        <v>110</v>
      </c>
      <c r="C11" t="s">
        <v>63</v>
      </c>
      <c r="D11">
        <v>101.0521</v>
      </c>
      <c r="M11">
        <v>10</v>
      </c>
      <c r="N11" t="s">
        <v>107</v>
      </c>
    </row>
    <row r="12" spans="1:15" x14ac:dyDescent="0.3">
      <c r="A12" s="10" t="s">
        <v>114</v>
      </c>
      <c r="B12" t="s">
        <v>110</v>
      </c>
      <c r="C12" t="s">
        <v>5</v>
      </c>
      <c r="D12">
        <v>1.96</v>
      </c>
      <c r="M12">
        <v>11</v>
      </c>
      <c r="N12" t="s">
        <v>119</v>
      </c>
    </row>
    <row r="13" spans="1:15" x14ac:dyDescent="0.3">
      <c r="A13" s="10">
        <v>11</v>
      </c>
      <c r="B13" t="s">
        <v>113</v>
      </c>
      <c r="C13" t="s">
        <v>112</v>
      </c>
      <c r="D13">
        <v>2.2999999999999998</v>
      </c>
      <c r="M13">
        <v>12</v>
      </c>
      <c r="N13" t="s">
        <v>122</v>
      </c>
    </row>
    <row r="15" spans="1:15" x14ac:dyDescent="0.3">
      <c r="A15" s="10" t="s">
        <v>84</v>
      </c>
      <c r="B15" t="s">
        <v>110</v>
      </c>
      <c r="C15" t="s">
        <v>80</v>
      </c>
    </row>
    <row r="16" spans="1:15" x14ac:dyDescent="0.3">
      <c r="A16" s="10" t="s">
        <v>99</v>
      </c>
      <c r="B16" t="s">
        <v>109</v>
      </c>
      <c r="C16" t="s">
        <v>81</v>
      </c>
    </row>
    <row r="17" spans="1:3" x14ac:dyDescent="0.3">
      <c r="A17" s="10">
        <v>3</v>
      </c>
      <c r="B17" t="s">
        <v>109</v>
      </c>
      <c r="C17" t="s">
        <v>85</v>
      </c>
    </row>
    <row r="18" spans="1:3" x14ac:dyDescent="0.3">
      <c r="A18" s="10" t="s">
        <v>105</v>
      </c>
      <c r="B18" t="s">
        <v>110</v>
      </c>
      <c r="C18" t="s">
        <v>86</v>
      </c>
    </row>
    <row r="19" spans="1:3" x14ac:dyDescent="0.3">
      <c r="A19" s="10" t="s">
        <v>106</v>
      </c>
      <c r="B19" t="s">
        <v>110</v>
      </c>
      <c r="C19" t="s">
        <v>87</v>
      </c>
    </row>
    <row r="20" spans="1:3" x14ac:dyDescent="0.3">
      <c r="A20" s="10">
        <v>3</v>
      </c>
      <c r="B20" t="s">
        <v>109</v>
      </c>
      <c r="C20" t="s">
        <v>88</v>
      </c>
    </row>
    <row r="21" spans="1:3" x14ac:dyDescent="0.3">
      <c r="A21" s="10" t="s">
        <v>118</v>
      </c>
      <c r="B21" t="s">
        <v>110</v>
      </c>
      <c r="C21" t="s">
        <v>89</v>
      </c>
    </row>
    <row r="22" spans="1:3" x14ac:dyDescent="0.3">
      <c r="A22" s="10">
        <v>4</v>
      </c>
      <c r="B22" t="s">
        <v>110</v>
      </c>
      <c r="C22" t="s">
        <v>91</v>
      </c>
    </row>
    <row r="23" spans="1:3" x14ac:dyDescent="0.3">
      <c r="A23" s="10">
        <v>6</v>
      </c>
      <c r="B23" t="s">
        <v>110</v>
      </c>
      <c r="C23" t="s">
        <v>94</v>
      </c>
    </row>
    <row r="24" spans="1:3" x14ac:dyDescent="0.3">
      <c r="A24" s="10">
        <v>6</v>
      </c>
      <c r="B24" t="s">
        <v>110</v>
      </c>
      <c r="C24" t="s">
        <v>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E51E-14CA-4AFD-A2E5-F24268DBF8C9}">
  <dimension ref="A1:K10"/>
  <sheetViews>
    <sheetView workbookViewId="0">
      <selection activeCell="H1" activeCellId="1" sqref="H10 H1:K1048576"/>
    </sheetView>
  </sheetViews>
  <sheetFormatPr defaultColWidth="11.5546875" defaultRowHeight="14.4" x14ac:dyDescent="0.3"/>
  <sheetData>
    <row r="1" spans="1:11" x14ac:dyDescent="0.3">
      <c r="A1" t="s">
        <v>108</v>
      </c>
      <c r="B1" t="s">
        <v>0</v>
      </c>
      <c r="C1" t="s">
        <v>1</v>
      </c>
      <c r="E1" t="s">
        <v>47</v>
      </c>
      <c r="F1" t="s">
        <v>48</v>
      </c>
      <c r="G1" t="s">
        <v>49</v>
      </c>
    </row>
    <row r="2" spans="1:11" x14ac:dyDescent="0.3">
      <c r="A2" t="s">
        <v>110</v>
      </c>
      <c r="B2" t="s">
        <v>53</v>
      </c>
      <c r="C2">
        <v>200</v>
      </c>
      <c r="E2" t="s">
        <v>52</v>
      </c>
      <c r="F2" s="2">
        <v>557.11861911007202</v>
      </c>
      <c r="G2" s="2">
        <v>8.7960699842072199</v>
      </c>
      <c r="H2" s="2"/>
      <c r="I2" s="2"/>
      <c r="J2" s="2"/>
      <c r="K2" s="2"/>
    </row>
    <row r="3" spans="1:11" x14ac:dyDescent="0.3">
      <c r="A3" t="s">
        <v>110</v>
      </c>
      <c r="B3" t="s">
        <v>57</v>
      </c>
      <c r="C3">
        <v>900</v>
      </c>
      <c r="E3" t="s">
        <v>54</v>
      </c>
      <c r="F3" s="2">
        <v>558.88319399572401</v>
      </c>
      <c r="G3" s="2">
        <v>16.868694077459502</v>
      </c>
      <c r="H3" s="2"/>
      <c r="I3" s="2"/>
      <c r="J3" s="2"/>
      <c r="K3" s="2"/>
    </row>
    <row r="4" spans="1:11" x14ac:dyDescent="0.3">
      <c r="A4" t="s">
        <v>110</v>
      </c>
      <c r="B4" t="s">
        <v>59</v>
      </c>
      <c r="C4">
        <v>131.25</v>
      </c>
      <c r="E4" t="s">
        <v>56</v>
      </c>
      <c r="F4" s="2">
        <v>603.15891496416202</v>
      </c>
      <c r="G4" s="2">
        <v>34.095736321815103</v>
      </c>
      <c r="H4" s="2"/>
      <c r="I4" s="2"/>
      <c r="J4" s="2"/>
      <c r="K4" s="2"/>
    </row>
    <row r="5" spans="1:11" x14ac:dyDescent="0.3">
      <c r="A5" t="s">
        <v>110</v>
      </c>
      <c r="B5" t="s">
        <v>60</v>
      </c>
      <c r="C5">
        <v>22.5</v>
      </c>
      <c r="E5" t="s">
        <v>58</v>
      </c>
      <c r="F5" s="2">
        <v>617.87710174024301</v>
      </c>
      <c r="G5" s="2">
        <v>20.989402155231499</v>
      </c>
      <c r="H5" s="2"/>
      <c r="I5" s="2"/>
      <c r="J5" s="2"/>
      <c r="K5" s="2"/>
    </row>
    <row r="6" spans="1:11" x14ac:dyDescent="0.3">
      <c r="A6" t="s">
        <v>110</v>
      </c>
      <c r="B6" t="s">
        <v>61</v>
      </c>
      <c r="C6">
        <v>63.388833333333331</v>
      </c>
      <c r="E6" t="s">
        <v>120</v>
      </c>
      <c r="F6" s="2">
        <v>599.39911656279799</v>
      </c>
      <c r="G6" s="2">
        <v>23.926611688782</v>
      </c>
      <c r="H6" s="2"/>
      <c r="I6" s="2"/>
      <c r="J6" s="2"/>
      <c r="K6" s="2"/>
    </row>
    <row r="7" spans="1:11" x14ac:dyDescent="0.3">
      <c r="A7" t="s">
        <v>110</v>
      </c>
      <c r="B7" t="s">
        <v>62</v>
      </c>
      <c r="C7">
        <v>28.05</v>
      </c>
    </row>
    <row r="8" spans="1:11" x14ac:dyDescent="0.3">
      <c r="A8" t="s">
        <v>110</v>
      </c>
      <c r="B8" t="s">
        <v>63</v>
      </c>
      <c r="C8">
        <v>101.0521</v>
      </c>
    </row>
    <row r="9" spans="1:11" x14ac:dyDescent="0.3">
      <c r="A9" t="s">
        <v>110</v>
      </c>
      <c r="B9" t="s">
        <v>5</v>
      </c>
      <c r="C9">
        <v>1.96</v>
      </c>
    </row>
    <row r="10" spans="1:11" x14ac:dyDescent="0.3">
      <c r="A10" t="s">
        <v>110</v>
      </c>
      <c r="B10" t="s">
        <v>112</v>
      </c>
      <c r="C10">
        <v>2.2999999999999998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workbookViewId="0">
      <selection activeCell="M21" sqref="M21"/>
    </sheetView>
  </sheetViews>
  <sheetFormatPr defaultColWidth="11.5546875" defaultRowHeight="14.4" x14ac:dyDescent="0.3"/>
  <cols>
    <col min="1" max="1" width="21.21875" bestFit="1" customWidth="1"/>
    <col min="3" max="3" width="13.109375" bestFit="1" customWidth="1"/>
    <col min="4" max="4" width="12.33203125" bestFit="1" customWidth="1"/>
  </cols>
  <sheetData>
    <row r="1" spans="1:6" x14ac:dyDescent="0.3">
      <c r="A1" t="s">
        <v>0</v>
      </c>
      <c r="B1" t="s">
        <v>1</v>
      </c>
      <c r="C1" t="s">
        <v>2</v>
      </c>
      <c r="D1" t="s">
        <v>3</v>
      </c>
      <c r="E1" t="s">
        <v>46</v>
      </c>
      <c r="F1" t="s">
        <v>4</v>
      </c>
    </row>
    <row r="2" spans="1:6" x14ac:dyDescent="0.3">
      <c r="A2" t="s">
        <v>16</v>
      </c>
      <c r="B2">
        <v>6000</v>
      </c>
      <c r="C2">
        <v>5.3770365475171999E-2</v>
      </c>
      <c r="D2">
        <v>5.4009118609065203E-2</v>
      </c>
      <c r="E2">
        <v>6.0097330613357203E-2</v>
      </c>
      <c r="F2">
        <v>6.2161880148616198E-2</v>
      </c>
    </row>
    <row r="3" spans="1:6" x14ac:dyDescent="0.3">
      <c r="A3" t="s">
        <v>35</v>
      </c>
      <c r="B3">
        <v>227.13</v>
      </c>
      <c r="C3">
        <v>0.62654252139741295</v>
      </c>
      <c r="D3">
        <v>0.62932451830554403</v>
      </c>
      <c r="E3">
        <v>0.70026552207708104</v>
      </c>
      <c r="F3">
        <v>0.72432204577633597</v>
      </c>
    </row>
    <row r="4" spans="1:6" x14ac:dyDescent="0.3">
      <c r="A4" t="s">
        <v>37</v>
      </c>
      <c r="B4">
        <v>200</v>
      </c>
      <c r="C4">
        <v>0.68926135490152896</v>
      </c>
      <c r="D4">
        <v>0.692321838256998</v>
      </c>
      <c r="E4">
        <v>0.77036425470558401</v>
      </c>
      <c r="F4">
        <v>0.796828910419912</v>
      </c>
    </row>
    <row r="5" spans="1:6" x14ac:dyDescent="0.3">
      <c r="A5" t="s">
        <v>32</v>
      </c>
      <c r="B5">
        <v>950</v>
      </c>
      <c r="C5">
        <v>0.214221828628857</v>
      </c>
      <c r="D5">
        <v>0.215173024189487</v>
      </c>
      <c r="E5">
        <v>0.23942853923228199</v>
      </c>
      <c r="F5">
        <v>0.24765373117266901</v>
      </c>
    </row>
    <row r="6" spans="1:6" x14ac:dyDescent="0.3">
      <c r="A6" t="s">
        <v>33</v>
      </c>
      <c r="B6">
        <v>900</v>
      </c>
      <c r="C6">
        <v>0.223087144240356</v>
      </c>
      <c r="D6">
        <v>0.22407770389804099</v>
      </c>
      <c r="E6">
        <v>0.24933700458467101</v>
      </c>
      <c r="F6">
        <v>0.25790258631158602</v>
      </c>
    </row>
    <row r="7" spans="1:6" x14ac:dyDescent="0.3">
      <c r="A7" t="s">
        <v>38</v>
      </c>
      <c r="B7">
        <v>131.25</v>
      </c>
      <c r="C7">
        <v>0.94532673859509198</v>
      </c>
      <c r="D7">
        <v>0.94952421278739296</v>
      </c>
      <c r="E7">
        <v>1.0565599293393</v>
      </c>
      <c r="F7">
        <v>1.0928563885801399</v>
      </c>
    </row>
    <row r="8" spans="1:6" x14ac:dyDescent="0.3">
      <c r="A8" t="s">
        <v>44</v>
      </c>
      <c r="B8">
        <v>22.5</v>
      </c>
      <c r="C8">
        <v>3.5482935155717601</v>
      </c>
      <c r="D8">
        <v>3.5640487775888401</v>
      </c>
      <c r="E8">
        <v>3.9658084268928899</v>
      </c>
      <c r="F8">
        <v>4.1020475553384497</v>
      </c>
    </row>
    <row r="9" spans="1:6" x14ac:dyDescent="0.3">
      <c r="A9" t="s">
        <v>42</v>
      </c>
      <c r="B9">
        <v>63.388833333333302</v>
      </c>
      <c r="C9">
        <v>1.6317245853551501</v>
      </c>
      <c r="D9">
        <v>1.6389698282498399</v>
      </c>
      <c r="E9">
        <v>1.82372373721936</v>
      </c>
      <c r="F9">
        <v>1.88637490584348</v>
      </c>
    </row>
    <row r="10" spans="1:6" x14ac:dyDescent="0.3">
      <c r="A10" t="s">
        <v>43</v>
      </c>
      <c r="B10">
        <v>28.05</v>
      </c>
      <c r="C10">
        <v>3.0075079011331201</v>
      </c>
      <c r="D10">
        <v>3.0208619471817002</v>
      </c>
      <c r="E10">
        <v>3.3613905179822101</v>
      </c>
      <c r="F10">
        <v>3.4768658171493598</v>
      </c>
    </row>
    <row r="11" spans="1:6" x14ac:dyDescent="0.3">
      <c r="A11" t="s">
        <v>40</v>
      </c>
      <c r="B11">
        <v>101.0521</v>
      </c>
      <c r="C11">
        <v>1.1501312898137901</v>
      </c>
      <c r="D11">
        <v>1.1552381446288</v>
      </c>
      <c r="E11">
        <v>1.28546309406474</v>
      </c>
      <c r="F11">
        <v>1.3296231625130099</v>
      </c>
    </row>
    <row r="12" spans="1:6" x14ac:dyDescent="0.3">
      <c r="A12" t="s">
        <v>5</v>
      </c>
      <c r="B12">
        <v>1.96</v>
      </c>
      <c r="C12">
        <v>22.129131657704999</v>
      </c>
      <c r="D12">
        <v>22.227390233537999</v>
      </c>
      <c r="E12">
        <v>24.732986835168099</v>
      </c>
      <c r="F12">
        <v>25.5826498061348</v>
      </c>
    </row>
    <row r="13" spans="1:6" x14ac:dyDescent="0.3">
      <c r="A13" t="s">
        <v>123</v>
      </c>
      <c r="B13">
        <v>2.2999999999999998</v>
      </c>
      <c r="C13">
        <v>19.627299480426402</v>
      </c>
      <c r="D13">
        <v>19.714449329965301</v>
      </c>
      <c r="E13">
        <v>21.936773081209701</v>
      </c>
      <c r="F13">
        <v>22.6903765143017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0FDB-3A51-4202-A7BB-7B28D6AB2246}">
  <dimension ref="A1:F10"/>
  <sheetViews>
    <sheetView workbookViewId="0">
      <selection activeCell="E22" sqref="E22"/>
    </sheetView>
  </sheetViews>
  <sheetFormatPr defaultColWidth="11.5546875" defaultRowHeight="14.4" x14ac:dyDescent="0.3"/>
  <cols>
    <col min="1" max="1" width="19.109375" bestFit="1" customWidth="1"/>
    <col min="3" max="3" width="13.109375" bestFit="1" customWidth="1"/>
    <col min="4" max="4" width="12.33203125" bestFit="1" customWidth="1"/>
    <col min="5" max="5" width="15" bestFit="1" customWidth="1"/>
    <col min="6" max="6" width="15.44140625" bestFit="1" customWidth="1"/>
    <col min="7" max="7" width="12" bestFit="1" customWidth="1"/>
  </cols>
  <sheetData>
    <row r="1" spans="1:6" x14ac:dyDescent="0.3">
      <c r="A1" t="s">
        <v>0</v>
      </c>
      <c r="B1" t="s">
        <v>1</v>
      </c>
      <c r="C1" t="s">
        <v>2</v>
      </c>
      <c r="D1" t="s">
        <v>3</v>
      </c>
      <c r="E1" t="s">
        <v>46</v>
      </c>
      <c r="F1" t="s">
        <v>4</v>
      </c>
    </row>
    <row r="2" spans="1:6" x14ac:dyDescent="0.3">
      <c r="A2" t="s">
        <v>37</v>
      </c>
      <c r="B2">
        <v>200</v>
      </c>
      <c r="C2">
        <v>1.1819811058543599</v>
      </c>
      <c r="D2">
        <v>1.18722938138181</v>
      </c>
      <c r="E2">
        <v>1.32106056318457</v>
      </c>
      <c r="F2">
        <v>1.3664435268526001</v>
      </c>
    </row>
    <row r="3" spans="1:6" x14ac:dyDescent="0.3">
      <c r="A3" t="s">
        <v>33</v>
      </c>
      <c r="B3">
        <v>900</v>
      </c>
      <c r="C3">
        <v>0.38256140080387602</v>
      </c>
      <c r="D3">
        <v>0.38426006386002798</v>
      </c>
      <c r="E3">
        <v>0.427576022235435</v>
      </c>
      <c r="F3">
        <v>0.44226472585978299</v>
      </c>
    </row>
    <row r="4" spans="1:6" x14ac:dyDescent="0.3">
      <c r="A4" t="s">
        <v>38</v>
      </c>
      <c r="B4">
        <v>131.25</v>
      </c>
      <c r="C4">
        <v>1.6210953014157501</v>
      </c>
      <c r="D4">
        <v>1.6282933477770101</v>
      </c>
      <c r="E4">
        <v>1.8118437437425701</v>
      </c>
      <c r="F4">
        <v>1.8740867938236401</v>
      </c>
    </row>
    <row r="5" spans="1:6" x14ac:dyDescent="0.3">
      <c r="A5" t="s">
        <v>44</v>
      </c>
      <c r="B5">
        <v>22.5</v>
      </c>
      <c r="C5">
        <v>6.0847976803088404</v>
      </c>
      <c r="D5">
        <v>6.1118156204407601</v>
      </c>
      <c r="E5">
        <v>6.8007738961298099</v>
      </c>
      <c r="F5">
        <v>7.0344038168493901</v>
      </c>
    </row>
    <row r="6" spans="1:6" x14ac:dyDescent="0.3">
      <c r="A6" t="s">
        <v>42</v>
      </c>
      <c r="B6">
        <v>63.388833333333302</v>
      </c>
      <c r="C6">
        <v>2.79816591505171</v>
      </c>
      <c r="D6">
        <v>2.8105904331941498</v>
      </c>
      <c r="E6">
        <v>3.1274160147849002</v>
      </c>
      <c r="F6">
        <v>3.23485348686541</v>
      </c>
    </row>
    <row r="7" spans="1:6" x14ac:dyDescent="0.3">
      <c r="A7" t="s">
        <v>43</v>
      </c>
      <c r="B7">
        <v>28.05</v>
      </c>
      <c r="C7">
        <v>5.15743047186346</v>
      </c>
      <c r="D7">
        <v>5.1803306823625404</v>
      </c>
      <c r="E7">
        <v>5.7642867301338603</v>
      </c>
      <c r="F7">
        <v>5.9623097599147004</v>
      </c>
    </row>
    <row r="8" spans="1:6" x14ac:dyDescent="0.3">
      <c r="A8" t="s">
        <v>40</v>
      </c>
      <c r="B8">
        <v>101.0521</v>
      </c>
      <c r="C8">
        <v>1.9723047638526301</v>
      </c>
      <c r="D8">
        <v>1.9810622632521799</v>
      </c>
      <c r="E8">
        <v>2.2043787580034402</v>
      </c>
      <c r="F8">
        <v>2.2801067328389699</v>
      </c>
    </row>
    <row r="9" spans="1:6" x14ac:dyDescent="0.3">
      <c r="A9" t="s">
        <v>5</v>
      </c>
      <c r="B9">
        <v>1.96</v>
      </c>
      <c r="C9">
        <v>37.948182242289803</v>
      </c>
      <c r="D9">
        <v>38.116681142303399</v>
      </c>
      <c r="E9">
        <v>42.413408096395798</v>
      </c>
      <c r="F9">
        <v>43.870454209434001</v>
      </c>
    </row>
    <row r="10" spans="1:6" x14ac:dyDescent="0.3">
      <c r="A10" t="s">
        <v>123</v>
      </c>
      <c r="B10">
        <v>2.2999999999999998</v>
      </c>
      <c r="C10">
        <v>33.657910718240302</v>
      </c>
      <c r="D10">
        <v>33.8073597984774</v>
      </c>
      <c r="E10">
        <v>37.618315782564899</v>
      </c>
      <c r="F10">
        <v>38.910634019888803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EBDE-F976-461A-8AB8-078CE0461F34}">
  <dimension ref="A1:H85"/>
  <sheetViews>
    <sheetView workbookViewId="0">
      <selection activeCell="H20" sqref="G20:H21"/>
    </sheetView>
  </sheetViews>
  <sheetFormatPr defaultColWidth="11.5546875" defaultRowHeight="14.4" x14ac:dyDescent="0.3"/>
  <cols>
    <col min="1" max="1" width="18.77734375" bestFit="1" customWidth="1"/>
    <col min="2" max="2" width="18.77734375" customWidth="1"/>
    <col min="3" max="3" width="18.109375" customWidth="1"/>
    <col min="4" max="4" width="15.44140625" bestFit="1" customWidth="1"/>
  </cols>
  <sheetData>
    <row r="1" spans="1:8" x14ac:dyDescent="0.3">
      <c r="A1" t="s">
        <v>64</v>
      </c>
      <c r="B1" t="s">
        <v>128</v>
      </c>
      <c r="C1" t="s">
        <v>7</v>
      </c>
      <c r="D1" t="s">
        <v>65</v>
      </c>
      <c r="E1" t="s">
        <v>66</v>
      </c>
      <c r="F1" t="s">
        <v>67</v>
      </c>
      <c r="G1" t="s">
        <v>68</v>
      </c>
      <c r="H1" t="s">
        <v>69</v>
      </c>
    </row>
    <row r="2" spans="1:8" x14ac:dyDescent="0.3">
      <c r="A2" t="s">
        <v>126</v>
      </c>
      <c r="B2" t="s">
        <v>144</v>
      </c>
      <c r="C2" t="s">
        <v>16</v>
      </c>
      <c r="D2" t="s">
        <v>2</v>
      </c>
      <c r="E2">
        <v>0</v>
      </c>
      <c r="F2">
        <v>0</v>
      </c>
      <c r="G2">
        <v>1.1034077796077999</v>
      </c>
      <c r="H2">
        <v>250.747814136248</v>
      </c>
    </row>
    <row r="3" spans="1:8" x14ac:dyDescent="0.3">
      <c r="A3" t="s">
        <v>126</v>
      </c>
      <c r="B3" t="s">
        <v>144</v>
      </c>
      <c r="C3" t="s">
        <v>16</v>
      </c>
      <c r="D3" t="s">
        <v>3</v>
      </c>
      <c r="E3">
        <v>0</v>
      </c>
      <c r="F3">
        <v>0</v>
      </c>
      <c r="G3">
        <v>1.1083071709921699</v>
      </c>
      <c r="H3">
        <v>251.86119370718501</v>
      </c>
    </row>
    <row r="4" spans="1:8" x14ac:dyDescent="0.3">
      <c r="A4" t="s">
        <v>126</v>
      </c>
      <c r="B4" t="s">
        <v>144</v>
      </c>
      <c r="C4" t="s">
        <v>16</v>
      </c>
      <c r="D4" t="s">
        <v>46</v>
      </c>
      <c r="E4">
        <v>0</v>
      </c>
      <c r="F4">
        <v>0</v>
      </c>
      <c r="G4">
        <v>1.2332417967859799</v>
      </c>
      <c r="H4">
        <v>280.252405829022</v>
      </c>
    </row>
    <row r="5" spans="1:8" x14ac:dyDescent="0.3">
      <c r="A5" t="s">
        <v>126</v>
      </c>
      <c r="B5" t="s">
        <v>144</v>
      </c>
      <c r="C5" t="s">
        <v>16</v>
      </c>
      <c r="D5" t="s">
        <v>4</v>
      </c>
      <c r="E5">
        <v>0</v>
      </c>
      <c r="F5">
        <v>0</v>
      </c>
      <c r="G5">
        <v>1.2756078844712599</v>
      </c>
      <c r="H5">
        <v>289.88003767729799</v>
      </c>
    </row>
    <row r="6" spans="1:8" x14ac:dyDescent="0.3">
      <c r="A6" t="s">
        <v>126</v>
      </c>
      <c r="B6" t="s">
        <v>144</v>
      </c>
      <c r="C6" t="s">
        <v>35</v>
      </c>
      <c r="D6" t="s">
        <v>2</v>
      </c>
      <c r="E6">
        <v>0</v>
      </c>
      <c r="F6">
        <v>8.5159492938978207</v>
      </c>
      <c r="G6">
        <v>107.20568084068699</v>
      </c>
      <c r="H6">
        <v>0</v>
      </c>
    </row>
    <row r="7" spans="1:8" x14ac:dyDescent="0.3">
      <c r="A7" t="s">
        <v>126</v>
      </c>
      <c r="B7" t="s">
        <v>144</v>
      </c>
      <c r="C7" t="s">
        <v>35</v>
      </c>
      <c r="D7" t="s">
        <v>3</v>
      </c>
      <c r="E7">
        <v>0</v>
      </c>
      <c r="F7">
        <v>8.5537621219123992</v>
      </c>
      <c r="G7">
        <v>107.681699406782</v>
      </c>
      <c r="H7">
        <v>0</v>
      </c>
    </row>
    <row r="8" spans="1:8" x14ac:dyDescent="0.3">
      <c r="A8" t="s">
        <v>126</v>
      </c>
      <c r="B8" t="s">
        <v>144</v>
      </c>
      <c r="C8" t="s">
        <v>35</v>
      </c>
      <c r="D8" t="s">
        <v>46</v>
      </c>
      <c r="E8">
        <v>0</v>
      </c>
      <c r="F8">
        <v>9.5179903591742505</v>
      </c>
      <c r="G8">
        <v>119.820186978043</v>
      </c>
      <c r="H8">
        <v>0</v>
      </c>
    </row>
    <row r="9" spans="1:8" x14ac:dyDescent="0.3">
      <c r="A9" t="s">
        <v>126</v>
      </c>
      <c r="B9" t="s">
        <v>144</v>
      </c>
      <c r="C9" t="s">
        <v>35</v>
      </c>
      <c r="D9" t="s">
        <v>4</v>
      </c>
      <c r="E9">
        <v>0</v>
      </c>
      <c r="F9">
        <v>9.84496598974021</v>
      </c>
      <c r="G9">
        <v>123.936421573082</v>
      </c>
      <c r="H9">
        <v>0</v>
      </c>
    </row>
    <row r="10" spans="1:8" x14ac:dyDescent="0.3">
      <c r="A10" t="s">
        <v>126</v>
      </c>
      <c r="B10" t="s">
        <v>144</v>
      </c>
      <c r="C10" t="s">
        <v>37</v>
      </c>
      <c r="D10" t="s">
        <v>2</v>
      </c>
      <c r="E10">
        <v>0</v>
      </c>
      <c r="F10">
        <v>9.0475529304191493</v>
      </c>
      <c r="G10">
        <v>104.63067005583299</v>
      </c>
      <c r="H10">
        <v>0</v>
      </c>
    </row>
    <row r="11" spans="1:8" x14ac:dyDescent="0.3">
      <c r="A11" t="s">
        <v>126</v>
      </c>
      <c r="B11" t="s">
        <v>144</v>
      </c>
      <c r="C11" t="s">
        <v>37</v>
      </c>
      <c r="D11" t="s">
        <v>3</v>
      </c>
      <c r="E11">
        <v>0</v>
      </c>
      <c r="F11">
        <v>9.0877262042496891</v>
      </c>
      <c r="G11">
        <v>105.095254965317</v>
      </c>
      <c r="H11">
        <v>0</v>
      </c>
    </row>
    <row r="12" spans="1:8" x14ac:dyDescent="0.3">
      <c r="A12" t="s">
        <v>126</v>
      </c>
      <c r="B12" t="s">
        <v>144</v>
      </c>
      <c r="C12" t="s">
        <v>37</v>
      </c>
      <c r="D12" t="s">
        <v>46</v>
      </c>
      <c r="E12">
        <v>0</v>
      </c>
      <c r="F12">
        <v>10.1121458799143</v>
      </c>
      <c r="G12">
        <v>116.942183953463</v>
      </c>
      <c r="H12">
        <v>0</v>
      </c>
    </row>
    <row r="13" spans="1:8" x14ac:dyDescent="0.3">
      <c r="A13" t="s">
        <v>126</v>
      </c>
      <c r="B13" t="s">
        <v>144</v>
      </c>
      <c r="C13" t="s">
        <v>37</v>
      </c>
      <c r="D13" t="s">
        <v>4</v>
      </c>
      <c r="E13">
        <v>0</v>
      </c>
      <c r="F13">
        <v>10.4595327915089</v>
      </c>
      <c r="G13">
        <v>120.959549268515</v>
      </c>
      <c r="H13">
        <v>0</v>
      </c>
    </row>
    <row r="14" spans="1:8" x14ac:dyDescent="0.3">
      <c r="A14" t="s">
        <v>126</v>
      </c>
      <c r="B14" t="s">
        <v>144</v>
      </c>
      <c r="C14" t="s">
        <v>32</v>
      </c>
      <c r="D14" t="s">
        <v>2</v>
      </c>
      <c r="E14">
        <v>0</v>
      </c>
      <c r="F14">
        <v>0</v>
      </c>
      <c r="G14">
        <v>15.645289364840901</v>
      </c>
      <c r="H14">
        <v>110.436704648348</v>
      </c>
    </row>
    <row r="15" spans="1:8" x14ac:dyDescent="0.3">
      <c r="A15" t="s">
        <v>126</v>
      </c>
      <c r="B15" t="s">
        <v>144</v>
      </c>
      <c r="C15" t="s">
        <v>32</v>
      </c>
      <c r="D15" t="s">
        <v>3</v>
      </c>
      <c r="E15">
        <v>0</v>
      </c>
      <c r="F15">
        <v>0</v>
      </c>
      <c r="G15">
        <v>15.714758148129</v>
      </c>
      <c r="H15">
        <v>110.92706972395401</v>
      </c>
    </row>
    <row r="16" spans="1:8" x14ac:dyDescent="0.3">
      <c r="A16" t="s">
        <v>126</v>
      </c>
      <c r="B16" t="s">
        <v>144</v>
      </c>
      <c r="C16" t="s">
        <v>32</v>
      </c>
      <c r="D16" t="s">
        <v>46</v>
      </c>
      <c r="E16">
        <v>0</v>
      </c>
      <c r="F16">
        <v>0</v>
      </c>
      <c r="G16">
        <v>17.4862141849237</v>
      </c>
      <c r="H16">
        <v>123.43139371381</v>
      </c>
    </row>
    <row r="17" spans="1:8" x14ac:dyDescent="0.3">
      <c r="A17" t="s">
        <v>126</v>
      </c>
      <c r="B17" t="s">
        <v>144</v>
      </c>
      <c r="C17" t="s">
        <v>32</v>
      </c>
      <c r="D17" t="s">
        <v>4</v>
      </c>
      <c r="E17">
        <v>0</v>
      </c>
      <c r="F17">
        <v>0</v>
      </c>
      <c r="G17">
        <v>18.086925647487401</v>
      </c>
      <c r="H17">
        <v>127.67168565236101</v>
      </c>
    </row>
    <row r="18" spans="1:8" x14ac:dyDescent="0.3">
      <c r="A18" t="s">
        <v>126</v>
      </c>
      <c r="B18" t="s">
        <v>144</v>
      </c>
      <c r="C18" t="s">
        <v>33</v>
      </c>
      <c r="D18" t="s">
        <v>2</v>
      </c>
      <c r="E18">
        <v>0</v>
      </c>
      <c r="F18">
        <v>0</v>
      </c>
      <c r="G18">
        <v>15.6191101869885</v>
      </c>
      <c r="H18">
        <v>109.84850132507</v>
      </c>
    </row>
    <row r="19" spans="1:8" x14ac:dyDescent="0.3">
      <c r="A19" t="s">
        <v>126</v>
      </c>
      <c r="B19" t="s">
        <v>144</v>
      </c>
      <c r="C19" t="s">
        <v>33</v>
      </c>
      <c r="D19" t="s">
        <v>3</v>
      </c>
      <c r="E19">
        <v>0</v>
      </c>
      <c r="F19">
        <v>0</v>
      </c>
      <c r="G19">
        <v>15.688462728538299</v>
      </c>
      <c r="H19">
        <v>110.336254638871</v>
      </c>
    </row>
    <row r="20" spans="1:8" x14ac:dyDescent="0.3">
      <c r="A20" t="s">
        <v>126</v>
      </c>
      <c r="B20" t="s">
        <v>144</v>
      </c>
      <c r="C20" t="s">
        <v>33</v>
      </c>
      <c r="D20" t="s">
        <v>46</v>
      </c>
      <c r="E20">
        <v>0</v>
      </c>
      <c r="F20">
        <v>0</v>
      </c>
      <c r="G20">
        <v>17.456954597552901</v>
      </c>
      <c r="H20">
        <v>122.773978625136</v>
      </c>
    </row>
    <row r="21" spans="1:8" x14ac:dyDescent="0.3">
      <c r="A21" t="s">
        <v>126</v>
      </c>
      <c r="B21" t="s">
        <v>144</v>
      </c>
      <c r="C21" t="s">
        <v>33</v>
      </c>
      <c r="D21" t="s">
        <v>4</v>
      </c>
      <c r="E21">
        <v>0</v>
      </c>
      <c r="F21">
        <v>0</v>
      </c>
      <c r="G21">
        <v>18.056660892883801</v>
      </c>
      <c r="H21">
        <v>126.991686099419</v>
      </c>
    </row>
    <row r="22" spans="1:8" x14ac:dyDescent="0.3">
      <c r="A22" t="s">
        <v>126</v>
      </c>
      <c r="B22" t="s">
        <v>144</v>
      </c>
      <c r="C22" t="s">
        <v>38</v>
      </c>
      <c r="D22" t="s">
        <v>2</v>
      </c>
      <c r="E22">
        <v>0</v>
      </c>
      <c r="F22">
        <v>24.563237532197601</v>
      </c>
      <c r="G22">
        <v>89.988192705601307</v>
      </c>
      <c r="H22">
        <v>0</v>
      </c>
    </row>
    <row r="23" spans="1:8" x14ac:dyDescent="0.3">
      <c r="A23" t="s">
        <v>126</v>
      </c>
      <c r="B23" t="s">
        <v>144</v>
      </c>
      <c r="C23" t="s">
        <v>38</v>
      </c>
      <c r="D23" t="s">
        <v>3</v>
      </c>
      <c r="E23">
        <v>0</v>
      </c>
      <c r="F23">
        <v>24.6723041135301</v>
      </c>
      <c r="G23">
        <v>90.387761554203806</v>
      </c>
      <c r="H23">
        <v>0</v>
      </c>
    </row>
    <row r="24" spans="1:8" x14ac:dyDescent="0.3">
      <c r="A24" t="s">
        <v>126</v>
      </c>
      <c r="B24" t="s">
        <v>144</v>
      </c>
      <c r="C24" t="s">
        <v>38</v>
      </c>
      <c r="D24" t="s">
        <v>46</v>
      </c>
      <c r="E24">
        <v>0</v>
      </c>
      <c r="F24">
        <v>27.453505176350699</v>
      </c>
      <c r="G24">
        <v>100.576779059167</v>
      </c>
      <c r="H24">
        <v>0</v>
      </c>
    </row>
    <row r="25" spans="1:8" x14ac:dyDescent="0.3">
      <c r="A25" t="s">
        <v>126</v>
      </c>
      <c r="B25" t="s">
        <v>144</v>
      </c>
      <c r="C25" t="s">
        <v>38</v>
      </c>
      <c r="D25" t="s">
        <v>4</v>
      </c>
      <c r="E25">
        <v>0</v>
      </c>
      <c r="F25">
        <v>28.396627288008599</v>
      </c>
      <c r="G25">
        <v>104.031936556933</v>
      </c>
      <c r="H25">
        <v>0</v>
      </c>
    </row>
    <row r="26" spans="1:8" x14ac:dyDescent="0.3">
      <c r="A26" t="s">
        <v>126</v>
      </c>
      <c r="B26" t="s">
        <v>144</v>
      </c>
      <c r="C26" t="s">
        <v>44</v>
      </c>
      <c r="D26" t="s">
        <v>2</v>
      </c>
      <c r="E26">
        <v>12.9287141232229</v>
      </c>
      <c r="F26">
        <v>44.596754622896</v>
      </c>
      <c r="G26">
        <v>0</v>
      </c>
      <c r="H26">
        <v>0</v>
      </c>
    </row>
    <row r="27" spans="1:8" x14ac:dyDescent="0.3">
      <c r="A27" t="s">
        <v>126</v>
      </c>
      <c r="B27" t="s">
        <v>144</v>
      </c>
      <c r="C27" t="s">
        <v>44</v>
      </c>
      <c r="D27" t="s">
        <v>3</v>
      </c>
      <c r="E27">
        <v>12.9861206702465</v>
      </c>
      <c r="F27">
        <v>44.794774755985699</v>
      </c>
      <c r="G27">
        <v>0</v>
      </c>
      <c r="H27">
        <v>0</v>
      </c>
    </row>
    <row r="28" spans="1:8" x14ac:dyDescent="0.3">
      <c r="A28" t="s">
        <v>126</v>
      </c>
      <c r="B28" t="s">
        <v>144</v>
      </c>
      <c r="C28" t="s">
        <v>44</v>
      </c>
      <c r="D28" t="s">
        <v>46</v>
      </c>
      <c r="E28">
        <v>14.4499893240947</v>
      </c>
      <c r="F28">
        <v>49.844294030184301</v>
      </c>
      <c r="G28">
        <v>0</v>
      </c>
      <c r="H28">
        <v>0</v>
      </c>
    </row>
    <row r="29" spans="1:8" x14ac:dyDescent="0.3">
      <c r="A29" t="s">
        <v>126</v>
      </c>
      <c r="B29" t="s">
        <v>144</v>
      </c>
      <c r="C29" t="s">
        <v>44</v>
      </c>
      <c r="D29" t="s">
        <v>4</v>
      </c>
      <c r="E29">
        <v>14.946396043645899</v>
      </c>
      <c r="F29">
        <v>51.556616574714504</v>
      </c>
      <c r="G29">
        <v>0</v>
      </c>
      <c r="H29">
        <v>0</v>
      </c>
    </row>
    <row r="30" spans="1:8" x14ac:dyDescent="0.3">
      <c r="A30" t="s">
        <v>126</v>
      </c>
      <c r="B30" t="s">
        <v>144</v>
      </c>
      <c r="C30" t="s">
        <v>42</v>
      </c>
      <c r="D30" t="s">
        <v>2</v>
      </c>
      <c r="E30">
        <v>0</v>
      </c>
      <c r="F30">
        <v>62.956079598239199</v>
      </c>
      <c r="G30">
        <v>0</v>
      </c>
      <c r="H30">
        <v>0</v>
      </c>
    </row>
    <row r="31" spans="1:8" x14ac:dyDescent="0.3">
      <c r="A31" t="s">
        <v>126</v>
      </c>
      <c r="B31" t="s">
        <v>144</v>
      </c>
      <c r="C31" t="s">
        <v>42</v>
      </c>
      <c r="D31" t="s">
        <v>3</v>
      </c>
      <c r="E31">
        <v>0</v>
      </c>
      <c r="F31">
        <v>63.235619474319101</v>
      </c>
      <c r="G31">
        <v>0</v>
      </c>
      <c r="H31">
        <v>0</v>
      </c>
    </row>
    <row r="32" spans="1:8" x14ac:dyDescent="0.3">
      <c r="A32" t="s">
        <v>126</v>
      </c>
      <c r="B32" t="s">
        <v>144</v>
      </c>
      <c r="C32" t="s">
        <v>42</v>
      </c>
      <c r="D32" t="s">
        <v>46</v>
      </c>
      <c r="E32">
        <v>0</v>
      </c>
      <c r="F32">
        <v>70.363894615579696</v>
      </c>
      <c r="G32">
        <v>0</v>
      </c>
      <c r="H32">
        <v>0</v>
      </c>
    </row>
    <row r="33" spans="1:8" x14ac:dyDescent="0.3">
      <c r="A33" t="s">
        <v>126</v>
      </c>
      <c r="B33" t="s">
        <v>144</v>
      </c>
      <c r="C33" t="s">
        <v>42</v>
      </c>
      <c r="D33" t="s">
        <v>4</v>
      </c>
      <c r="E33">
        <v>0</v>
      </c>
      <c r="F33">
        <v>72.7811358548323</v>
      </c>
      <c r="G33">
        <v>0</v>
      </c>
      <c r="H33">
        <v>0</v>
      </c>
    </row>
    <row r="34" spans="1:8" x14ac:dyDescent="0.3">
      <c r="A34" t="s">
        <v>126</v>
      </c>
      <c r="B34" t="s">
        <v>144</v>
      </c>
      <c r="C34" t="s">
        <v>43</v>
      </c>
      <c r="D34" t="s">
        <v>2</v>
      </c>
      <c r="E34">
        <v>0</v>
      </c>
      <c r="F34">
        <v>65.355648001249506</v>
      </c>
      <c r="G34">
        <v>0</v>
      </c>
      <c r="H34">
        <v>0</v>
      </c>
    </row>
    <row r="35" spans="1:8" x14ac:dyDescent="0.3">
      <c r="A35" t="s">
        <v>126</v>
      </c>
      <c r="B35" t="s">
        <v>144</v>
      </c>
      <c r="C35" t="s">
        <v>43</v>
      </c>
      <c r="D35" t="s">
        <v>3</v>
      </c>
      <c r="E35">
        <v>0</v>
      </c>
      <c r="F35">
        <v>65.645842528291197</v>
      </c>
      <c r="G35">
        <v>0</v>
      </c>
      <c r="H35">
        <v>0</v>
      </c>
    </row>
    <row r="36" spans="1:8" x14ac:dyDescent="0.3">
      <c r="A36" t="s">
        <v>126</v>
      </c>
      <c r="B36" t="s">
        <v>144</v>
      </c>
      <c r="C36" t="s">
        <v>43</v>
      </c>
      <c r="D36" t="s">
        <v>46</v>
      </c>
      <c r="E36">
        <v>0</v>
      </c>
      <c r="F36">
        <v>73.045811585470304</v>
      </c>
      <c r="G36">
        <v>0</v>
      </c>
      <c r="H36">
        <v>0</v>
      </c>
    </row>
    <row r="37" spans="1:8" x14ac:dyDescent="0.3">
      <c r="A37" t="s">
        <v>126</v>
      </c>
      <c r="B37" t="s">
        <v>144</v>
      </c>
      <c r="C37" t="s">
        <v>43</v>
      </c>
      <c r="D37" t="s">
        <v>4</v>
      </c>
      <c r="E37">
        <v>0</v>
      </c>
      <c r="F37">
        <v>75.555185875846703</v>
      </c>
      <c r="G37">
        <v>0</v>
      </c>
      <c r="H37">
        <v>0</v>
      </c>
    </row>
    <row r="38" spans="1:8" x14ac:dyDescent="0.3">
      <c r="A38" t="s">
        <v>126</v>
      </c>
      <c r="B38" t="s">
        <v>144</v>
      </c>
      <c r="C38" t="s">
        <v>40</v>
      </c>
      <c r="D38" t="s">
        <v>2</v>
      </c>
      <c r="E38">
        <v>0</v>
      </c>
      <c r="F38">
        <v>25.1658322582654</v>
      </c>
      <c r="G38">
        <v>0.368975186185384</v>
      </c>
      <c r="H38">
        <v>0</v>
      </c>
    </row>
    <row r="39" spans="1:8" x14ac:dyDescent="0.3">
      <c r="A39" t="s">
        <v>126</v>
      </c>
      <c r="B39" t="s">
        <v>144</v>
      </c>
      <c r="C39" t="s">
        <v>40</v>
      </c>
      <c r="D39" t="s">
        <v>3</v>
      </c>
      <c r="E39">
        <v>0</v>
      </c>
      <c r="F39">
        <v>25.277574502633499</v>
      </c>
      <c r="G39">
        <v>0.37061352323688301</v>
      </c>
      <c r="H39">
        <v>0</v>
      </c>
    </row>
    <row r="40" spans="1:8" x14ac:dyDescent="0.3">
      <c r="A40" t="s">
        <v>126</v>
      </c>
      <c r="B40" t="s">
        <v>144</v>
      </c>
      <c r="C40" t="s">
        <v>40</v>
      </c>
      <c r="D40" t="s">
        <v>46</v>
      </c>
      <c r="E40">
        <v>0</v>
      </c>
      <c r="F40">
        <v>28.1270050523202</v>
      </c>
      <c r="G40">
        <v>0.41239116670216702</v>
      </c>
      <c r="H40">
        <v>0</v>
      </c>
    </row>
    <row r="41" spans="1:8" x14ac:dyDescent="0.3">
      <c r="A41" t="s">
        <v>126</v>
      </c>
      <c r="B41" t="s">
        <v>144</v>
      </c>
      <c r="C41" t="s">
        <v>40</v>
      </c>
      <c r="D41" t="s">
        <v>4</v>
      </c>
      <c r="E41">
        <v>0</v>
      </c>
      <c r="F41">
        <v>29.093264195885101</v>
      </c>
      <c r="G41">
        <v>0.426558218430929</v>
      </c>
      <c r="H41">
        <v>0</v>
      </c>
    </row>
    <row r="42" spans="1:8" x14ac:dyDescent="0.3">
      <c r="A42" t="s">
        <v>126</v>
      </c>
      <c r="B42" t="s">
        <v>144</v>
      </c>
      <c r="C42" t="s">
        <v>5</v>
      </c>
      <c r="D42" t="s">
        <v>2</v>
      </c>
      <c r="E42">
        <v>21.4808112337404</v>
      </c>
      <c r="F42">
        <v>0</v>
      </c>
      <c r="G42">
        <v>0</v>
      </c>
      <c r="H42">
        <v>0</v>
      </c>
    </row>
    <row r="43" spans="1:8" x14ac:dyDescent="0.3">
      <c r="A43" t="s">
        <v>126</v>
      </c>
      <c r="B43" t="s">
        <v>144</v>
      </c>
      <c r="C43" t="s">
        <v>5</v>
      </c>
      <c r="D43" t="s">
        <v>3</v>
      </c>
      <c r="E43">
        <v>21.576191113629601</v>
      </c>
      <c r="F43">
        <v>0</v>
      </c>
      <c r="G43">
        <v>0</v>
      </c>
      <c r="H43">
        <v>0</v>
      </c>
    </row>
    <row r="44" spans="1:8" x14ac:dyDescent="0.3">
      <c r="A44" t="s">
        <v>126</v>
      </c>
      <c r="B44" t="s">
        <v>144</v>
      </c>
      <c r="C44" t="s">
        <v>5</v>
      </c>
      <c r="D44" t="s">
        <v>46</v>
      </c>
      <c r="E44">
        <v>24.0083808832077</v>
      </c>
      <c r="F44">
        <v>0</v>
      </c>
      <c r="G44">
        <v>0</v>
      </c>
      <c r="H44">
        <v>0</v>
      </c>
    </row>
    <row r="45" spans="1:8" x14ac:dyDescent="0.3">
      <c r="A45" t="s">
        <v>126</v>
      </c>
      <c r="B45" t="s">
        <v>144</v>
      </c>
      <c r="C45" t="s">
        <v>5</v>
      </c>
      <c r="D45" t="s">
        <v>4</v>
      </c>
      <c r="E45">
        <v>24.833151153182602</v>
      </c>
      <c r="F45">
        <v>0</v>
      </c>
      <c r="G45">
        <v>0</v>
      </c>
      <c r="H45">
        <v>0</v>
      </c>
    </row>
    <row r="46" spans="1:8" x14ac:dyDescent="0.3">
      <c r="A46" t="s">
        <v>126</v>
      </c>
      <c r="B46" t="s">
        <v>144</v>
      </c>
      <c r="C46" t="s">
        <v>123</v>
      </c>
      <c r="D46" t="s">
        <v>2</v>
      </c>
      <c r="E46">
        <v>21.468811490323901</v>
      </c>
      <c r="F46">
        <v>0</v>
      </c>
      <c r="G46">
        <v>0</v>
      </c>
      <c r="H46">
        <v>0</v>
      </c>
    </row>
    <row r="47" spans="1:8" x14ac:dyDescent="0.3">
      <c r="A47" t="s">
        <v>126</v>
      </c>
      <c r="B47" t="s">
        <v>144</v>
      </c>
      <c r="C47" t="s">
        <v>123</v>
      </c>
      <c r="D47" t="s">
        <v>3</v>
      </c>
      <c r="E47">
        <v>21.564138088515701</v>
      </c>
      <c r="F47">
        <v>0</v>
      </c>
      <c r="G47">
        <v>0</v>
      </c>
      <c r="H47">
        <v>0</v>
      </c>
    </row>
    <row r="48" spans="1:8" x14ac:dyDescent="0.3">
      <c r="A48" t="s">
        <v>126</v>
      </c>
      <c r="B48" t="s">
        <v>144</v>
      </c>
      <c r="C48" t="s">
        <v>123</v>
      </c>
      <c r="D48" t="s">
        <v>46</v>
      </c>
      <c r="E48">
        <v>23.994969173225901</v>
      </c>
      <c r="F48">
        <v>0</v>
      </c>
      <c r="G48">
        <v>0</v>
      </c>
      <c r="H48">
        <v>0</v>
      </c>
    </row>
    <row r="49" spans="1:8" x14ac:dyDescent="0.3">
      <c r="A49" t="s">
        <v>126</v>
      </c>
      <c r="B49" t="s">
        <v>144</v>
      </c>
      <c r="C49" t="s">
        <v>123</v>
      </c>
      <c r="D49" t="s">
        <v>4</v>
      </c>
      <c r="E49">
        <v>24.819278704939499</v>
      </c>
      <c r="F49">
        <v>0</v>
      </c>
      <c r="G49">
        <v>0</v>
      </c>
      <c r="H49">
        <v>0</v>
      </c>
    </row>
    <row r="50" spans="1:8" x14ac:dyDescent="0.3">
      <c r="A50" t="s">
        <v>127</v>
      </c>
      <c r="B50" t="s">
        <v>144</v>
      </c>
      <c r="C50" t="s">
        <v>37</v>
      </c>
      <c r="D50" t="s">
        <v>2</v>
      </c>
      <c r="E50">
        <v>0</v>
      </c>
      <c r="F50">
        <v>15.20364783214</v>
      </c>
      <c r="G50">
        <v>179.58227903553299</v>
      </c>
      <c r="H50">
        <v>0</v>
      </c>
    </row>
    <row r="51" spans="1:8" x14ac:dyDescent="0.3">
      <c r="A51" t="s">
        <v>127</v>
      </c>
      <c r="B51" t="s">
        <v>144</v>
      </c>
      <c r="C51" t="s">
        <v>37</v>
      </c>
      <c r="D51" t="s">
        <v>3</v>
      </c>
      <c r="E51">
        <v>0</v>
      </c>
      <c r="F51">
        <v>15.27115562262</v>
      </c>
      <c r="G51">
        <v>180.37966680726399</v>
      </c>
      <c r="H51">
        <v>0</v>
      </c>
    </row>
    <row r="52" spans="1:8" x14ac:dyDescent="0.3">
      <c r="A52" t="s">
        <v>127</v>
      </c>
      <c r="B52" t="s">
        <v>144</v>
      </c>
      <c r="C52" t="s">
        <v>37</v>
      </c>
      <c r="D52" t="s">
        <v>46</v>
      </c>
      <c r="E52">
        <v>0</v>
      </c>
      <c r="F52">
        <v>16.9926062845724</v>
      </c>
      <c r="G52">
        <v>200.713078665643</v>
      </c>
      <c r="H52">
        <v>0</v>
      </c>
    </row>
    <row r="53" spans="1:8" x14ac:dyDescent="0.3">
      <c r="A53" t="s">
        <v>127</v>
      </c>
      <c r="B53" t="s">
        <v>144</v>
      </c>
      <c r="C53" t="s">
        <v>37</v>
      </c>
      <c r="D53" t="s">
        <v>4</v>
      </c>
      <c r="E53">
        <v>0</v>
      </c>
      <c r="F53">
        <v>17.5763606219049</v>
      </c>
      <c r="G53">
        <v>207.60826168043499</v>
      </c>
      <c r="H53">
        <v>0</v>
      </c>
    </row>
    <row r="54" spans="1:8" x14ac:dyDescent="0.3">
      <c r="A54" t="s">
        <v>127</v>
      </c>
      <c r="B54" t="s">
        <v>144</v>
      </c>
      <c r="C54" t="s">
        <v>33</v>
      </c>
      <c r="D54" t="s">
        <v>2</v>
      </c>
      <c r="E54">
        <v>0</v>
      </c>
      <c r="F54">
        <v>0</v>
      </c>
      <c r="G54">
        <v>26.3900383911731</v>
      </c>
      <c r="H54">
        <v>189.74035017495001</v>
      </c>
    </row>
    <row r="55" spans="1:8" x14ac:dyDescent="0.3">
      <c r="A55" t="s">
        <v>127</v>
      </c>
      <c r="B55" t="s">
        <v>144</v>
      </c>
      <c r="C55" t="s">
        <v>33</v>
      </c>
      <c r="D55" t="s">
        <v>3</v>
      </c>
      <c r="E55">
        <v>0</v>
      </c>
      <c r="F55">
        <v>0</v>
      </c>
      <c r="G55">
        <v>26.507216400170599</v>
      </c>
      <c r="H55">
        <v>190.582842183884</v>
      </c>
    </row>
    <row r="56" spans="1:8" x14ac:dyDescent="0.3">
      <c r="A56" t="s">
        <v>127</v>
      </c>
      <c r="B56" t="s">
        <v>144</v>
      </c>
      <c r="C56" t="s">
        <v>33</v>
      </c>
      <c r="D56" t="s">
        <v>46</v>
      </c>
      <c r="E56">
        <v>0</v>
      </c>
      <c r="F56">
        <v>0</v>
      </c>
      <c r="G56">
        <v>29.495259109329002</v>
      </c>
      <c r="H56">
        <v>212.066413430338</v>
      </c>
    </row>
    <row r="57" spans="1:8" x14ac:dyDescent="0.3">
      <c r="A57" t="s">
        <v>127</v>
      </c>
      <c r="B57" t="s">
        <v>144</v>
      </c>
      <c r="C57" t="s">
        <v>33</v>
      </c>
      <c r="D57" t="s">
        <v>4</v>
      </c>
      <c r="E57">
        <v>0</v>
      </c>
      <c r="F57">
        <v>0</v>
      </c>
      <c r="G57">
        <v>30.5085224750229</v>
      </c>
      <c r="H57">
        <v>219.35162245415299</v>
      </c>
    </row>
    <row r="58" spans="1:8" x14ac:dyDescent="0.3">
      <c r="A58" t="s">
        <v>127</v>
      </c>
      <c r="B58" t="s">
        <v>144</v>
      </c>
      <c r="C58" t="s">
        <v>38</v>
      </c>
      <c r="D58" t="s">
        <v>2</v>
      </c>
      <c r="E58">
        <v>0</v>
      </c>
      <c r="F58">
        <v>42.351271294592301</v>
      </c>
      <c r="G58">
        <v>154.07248691041301</v>
      </c>
      <c r="H58">
        <v>0</v>
      </c>
    </row>
    <row r="59" spans="1:8" x14ac:dyDescent="0.3">
      <c r="A59" t="s">
        <v>127</v>
      </c>
      <c r="B59" t="s">
        <v>144</v>
      </c>
      <c r="C59" t="s">
        <v>38</v>
      </c>
      <c r="D59" t="s">
        <v>3</v>
      </c>
      <c r="E59">
        <v>0</v>
      </c>
      <c r="F59">
        <v>42.539320950877503</v>
      </c>
      <c r="G59">
        <v>154.75660517465499</v>
      </c>
      <c r="H59">
        <v>0</v>
      </c>
    </row>
    <row r="60" spans="1:8" x14ac:dyDescent="0.3">
      <c r="A60" t="s">
        <v>127</v>
      </c>
      <c r="B60" t="s">
        <v>144</v>
      </c>
      <c r="C60" t="s">
        <v>38</v>
      </c>
      <c r="D60" t="s">
        <v>46</v>
      </c>
      <c r="E60">
        <v>0</v>
      </c>
      <c r="F60">
        <v>47.334592770478899</v>
      </c>
      <c r="G60">
        <v>172.20164122843099</v>
      </c>
      <c r="H60">
        <v>0</v>
      </c>
    </row>
    <row r="61" spans="1:8" x14ac:dyDescent="0.3">
      <c r="A61" t="s">
        <v>127</v>
      </c>
      <c r="B61" t="s">
        <v>144</v>
      </c>
      <c r="C61" t="s">
        <v>38</v>
      </c>
      <c r="D61" t="s">
        <v>4</v>
      </c>
      <c r="E61">
        <v>0</v>
      </c>
      <c r="F61">
        <v>48.960698464502002</v>
      </c>
      <c r="G61">
        <v>178.11735852802801</v>
      </c>
      <c r="H61">
        <v>0</v>
      </c>
    </row>
    <row r="62" spans="1:8" x14ac:dyDescent="0.3">
      <c r="A62" t="s">
        <v>127</v>
      </c>
      <c r="B62" t="s">
        <v>144</v>
      </c>
      <c r="C62" t="s">
        <v>44</v>
      </c>
      <c r="D62" t="s">
        <v>2</v>
      </c>
      <c r="E62">
        <v>22.251444621680299</v>
      </c>
      <c r="F62">
        <v>76.339303432692006</v>
      </c>
      <c r="G62">
        <v>0</v>
      </c>
      <c r="H62">
        <v>0</v>
      </c>
    </row>
    <row r="63" spans="1:8" x14ac:dyDescent="0.3">
      <c r="A63" t="s">
        <v>127</v>
      </c>
      <c r="B63" t="s">
        <v>144</v>
      </c>
      <c r="C63" t="s">
        <v>44</v>
      </c>
      <c r="D63" t="s">
        <v>3</v>
      </c>
      <c r="E63">
        <v>22.350246295987901</v>
      </c>
      <c r="F63">
        <v>76.678267986358506</v>
      </c>
      <c r="G63">
        <v>0</v>
      </c>
      <c r="H63">
        <v>0</v>
      </c>
    </row>
    <row r="64" spans="1:8" x14ac:dyDescent="0.3">
      <c r="A64" t="s">
        <v>127</v>
      </c>
      <c r="B64" t="s">
        <v>144</v>
      </c>
      <c r="C64" t="s">
        <v>44</v>
      </c>
      <c r="D64" t="s">
        <v>46</v>
      </c>
      <c r="E64">
        <v>24.869691924846499</v>
      </c>
      <c r="F64">
        <v>85.321874170750405</v>
      </c>
      <c r="G64">
        <v>0</v>
      </c>
      <c r="H64">
        <v>0</v>
      </c>
    </row>
    <row r="65" spans="1:8" x14ac:dyDescent="0.3">
      <c r="A65" t="s">
        <v>127</v>
      </c>
      <c r="B65" t="s">
        <v>144</v>
      </c>
      <c r="C65" t="s">
        <v>44</v>
      </c>
      <c r="D65" t="s">
        <v>4</v>
      </c>
      <c r="E65">
        <v>25.724051184757901</v>
      </c>
      <c r="F65">
        <v>88.252973337200004</v>
      </c>
      <c r="G65">
        <v>0</v>
      </c>
      <c r="H65">
        <v>0</v>
      </c>
    </row>
    <row r="66" spans="1:8" x14ac:dyDescent="0.3">
      <c r="A66" t="s">
        <v>127</v>
      </c>
      <c r="B66" t="s">
        <v>144</v>
      </c>
      <c r="C66" t="s">
        <v>42</v>
      </c>
      <c r="D66" t="s">
        <v>2</v>
      </c>
      <c r="E66">
        <v>0</v>
      </c>
      <c r="F66">
        <v>108.00241826575299</v>
      </c>
      <c r="G66">
        <v>0</v>
      </c>
      <c r="H66">
        <v>0</v>
      </c>
    </row>
    <row r="67" spans="1:8" x14ac:dyDescent="0.3">
      <c r="A67" t="s">
        <v>127</v>
      </c>
      <c r="B67" t="s">
        <v>144</v>
      </c>
      <c r="C67" t="s">
        <v>42</v>
      </c>
      <c r="D67" t="s">
        <v>3</v>
      </c>
      <c r="E67">
        <v>0</v>
      </c>
      <c r="F67">
        <v>108.481974534362</v>
      </c>
      <c r="G67">
        <v>0</v>
      </c>
      <c r="H67">
        <v>0</v>
      </c>
    </row>
    <row r="68" spans="1:8" x14ac:dyDescent="0.3">
      <c r="A68" t="s">
        <v>127</v>
      </c>
      <c r="B68" t="s">
        <v>144</v>
      </c>
      <c r="C68" t="s">
        <v>42</v>
      </c>
      <c r="D68" t="s">
        <v>46</v>
      </c>
      <c r="E68">
        <v>0</v>
      </c>
      <c r="F68">
        <v>120.710673624788</v>
      </c>
      <c r="G68">
        <v>0</v>
      </c>
      <c r="H68">
        <v>0</v>
      </c>
    </row>
    <row r="69" spans="1:8" x14ac:dyDescent="0.3">
      <c r="A69" t="s">
        <v>127</v>
      </c>
      <c r="B69" t="s">
        <v>144</v>
      </c>
      <c r="C69" t="s">
        <v>42</v>
      </c>
      <c r="D69" t="s">
        <v>4</v>
      </c>
      <c r="E69">
        <v>0</v>
      </c>
      <c r="F69">
        <v>124.857499491917</v>
      </c>
      <c r="G69">
        <v>0</v>
      </c>
      <c r="H69">
        <v>0</v>
      </c>
    </row>
    <row r="70" spans="1:8" x14ac:dyDescent="0.3">
      <c r="A70" t="s">
        <v>127</v>
      </c>
      <c r="B70" t="s">
        <v>144</v>
      </c>
      <c r="C70" t="s">
        <v>43</v>
      </c>
      <c r="D70" t="s">
        <v>2</v>
      </c>
      <c r="E70">
        <v>0</v>
      </c>
      <c r="F70">
        <v>112.20729053390301</v>
      </c>
      <c r="G70">
        <v>0</v>
      </c>
      <c r="H70">
        <v>0</v>
      </c>
    </row>
    <row r="71" spans="1:8" x14ac:dyDescent="0.3">
      <c r="A71" t="s">
        <v>127</v>
      </c>
      <c r="B71" t="s">
        <v>144</v>
      </c>
      <c r="C71" t="s">
        <v>43</v>
      </c>
      <c r="D71" t="s">
        <v>3</v>
      </c>
      <c r="E71">
        <v>0</v>
      </c>
      <c r="F71">
        <v>112.705517429404</v>
      </c>
      <c r="G71">
        <v>0</v>
      </c>
      <c r="H71">
        <v>0</v>
      </c>
    </row>
    <row r="72" spans="1:8" x14ac:dyDescent="0.3">
      <c r="A72" t="s">
        <v>127</v>
      </c>
      <c r="B72" t="s">
        <v>144</v>
      </c>
      <c r="C72" t="s">
        <v>43</v>
      </c>
      <c r="D72" t="s">
        <v>46</v>
      </c>
      <c r="E72">
        <v>0</v>
      </c>
      <c r="F72">
        <v>125.410318060023</v>
      </c>
      <c r="G72">
        <v>0</v>
      </c>
      <c r="H72">
        <v>0</v>
      </c>
    </row>
    <row r="73" spans="1:8" x14ac:dyDescent="0.3">
      <c r="A73" t="s">
        <v>127</v>
      </c>
      <c r="B73" t="s">
        <v>144</v>
      </c>
      <c r="C73" t="s">
        <v>43</v>
      </c>
      <c r="D73" t="s">
        <v>4</v>
      </c>
      <c r="E73">
        <v>0</v>
      </c>
      <c r="F73">
        <v>129.71859284070001</v>
      </c>
      <c r="G73">
        <v>0</v>
      </c>
      <c r="H73">
        <v>0</v>
      </c>
    </row>
    <row r="74" spans="1:8" x14ac:dyDescent="0.3">
      <c r="A74" t="s">
        <v>127</v>
      </c>
      <c r="B74" t="s">
        <v>144</v>
      </c>
      <c r="C74" t="s">
        <v>40</v>
      </c>
      <c r="D74" t="s">
        <v>2</v>
      </c>
      <c r="E74">
        <v>0</v>
      </c>
      <c r="F74">
        <v>43.144430926741201</v>
      </c>
      <c r="G74">
        <v>0.710104397912658</v>
      </c>
      <c r="H74">
        <v>0</v>
      </c>
    </row>
    <row r="75" spans="1:8" x14ac:dyDescent="0.3">
      <c r="A75" t="s">
        <v>127</v>
      </c>
      <c r="B75" t="s">
        <v>144</v>
      </c>
      <c r="C75" t="s">
        <v>40</v>
      </c>
      <c r="D75" t="s">
        <v>3</v>
      </c>
      <c r="E75">
        <v>0</v>
      </c>
      <c r="F75">
        <v>43.336002399294401</v>
      </c>
      <c r="G75">
        <v>0.71325742930634095</v>
      </c>
      <c r="H75">
        <v>0</v>
      </c>
    </row>
    <row r="76" spans="1:8" x14ac:dyDescent="0.3">
      <c r="A76" t="s">
        <v>127</v>
      </c>
      <c r="B76" t="s">
        <v>144</v>
      </c>
      <c r="C76" t="s">
        <v>40</v>
      </c>
      <c r="D76" t="s">
        <v>46</v>
      </c>
      <c r="E76">
        <v>0</v>
      </c>
      <c r="F76">
        <v>48.2210806383072</v>
      </c>
      <c r="G76">
        <v>0.79365982347769004</v>
      </c>
      <c r="H76">
        <v>0</v>
      </c>
    </row>
    <row r="77" spans="1:8" x14ac:dyDescent="0.3">
      <c r="A77" t="s">
        <v>127</v>
      </c>
      <c r="B77" t="s">
        <v>144</v>
      </c>
      <c r="C77" t="s">
        <v>40</v>
      </c>
      <c r="D77" t="s">
        <v>4</v>
      </c>
      <c r="E77">
        <v>0</v>
      </c>
      <c r="F77">
        <v>49.877640232642598</v>
      </c>
      <c r="G77">
        <v>0.82092476191990404</v>
      </c>
      <c r="H77">
        <v>0</v>
      </c>
    </row>
    <row r="78" spans="1:8" x14ac:dyDescent="0.3">
      <c r="A78" t="s">
        <v>127</v>
      </c>
      <c r="B78" t="s">
        <v>144</v>
      </c>
      <c r="C78" t="s">
        <v>5</v>
      </c>
      <c r="D78" t="s">
        <v>2</v>
      </c>
      <c r="E78">
        <v>36.836341625050402</v>
      </c>
      <c r="F78">
        <v>0</v>
      </c>
      <c r="G78">
        <v>0</v>
      </c>
      <c r="H78">
        <v>0</v>
      </c>
    </row>
    <row r="79" spans="1:8" x14ac:dyDescent="0.3">
      <c r="A79" t="s">
        <v>127</v>
      </c>
      <c r="B79" t="s">
        <v>144</v>
      </c>
      <c r="C79" t="s">
        <v>5</v>
      </c>
      <c r="D79" t="s">
        <v>3</v>
      </c>
      <c r="E79">
        <v>36.999903689886999</v>
      </c>
      <c r="F79">
        <v>0</v>
      </c>
      <c r="G79">
        <v>0</v>
      </c>
      <c r="H79">
        <v>0</v>
      </c>
    </row>
    <row r="80" spans="1:8" x14ac:dyDescent="0.3">
      <c r="A80" t="s">
        <v>127</v>
      </c>
      <c r="B80" t="s">
        <v>144</v>
      </c>
      <c r="C80" t="s">
        <v>5</v>
      </c>
      <c r="D80" t="s">
        <v>46</v>
      </c>
      <c r="E80">
        <v>41.170741200362698</v>
      </c>
      <c r="F80">
        <v>0</v>
      </c>
      <c r="G80">
        <v>0</v>
      </c>
      <c r="H80">
        <v>0</v>
      </c>
    </row>
    <row r="81" spans="1:8" x14ac:dyDescent="0.3">
      <c r="A81" t="s">
        <v>127</v>
      </c>
      <c r="B81" t="s">
        <v>144</v>
      </c>
      <c r="C81" t="s">
        <v>5</v>
      </c>
      <c r="D81" t="s">
        <v>4</v>
      </c>
      <c r="E81">
        <v>42.585097441213499</v>
      </c>
      <c r="F81">
        <v>0</v>
      </c>
      <c r="G81">
        <v>0</v>
      </c>
      <c r="H81">
        <v>0</v>
      </c>
    </row>
    <row r="82" spans="1:8" x14ac:dyDescent="0.3">
      <c r="A82" t="s">
        <v>127</v>
      </c>
      <c r="B82" t="s">
        <v>144</v>
      </c>
      <c r="C82" t="s">
        <v>123</v>
      </c>
      <c r="D82" t="s">
        <v>2</v>
      </c>
      <c r="E82">
        <v>36.815484498841599</v>
      </c>
      <c r="F82">
        <v>0</v>
      </c>
      <c r="G82">
        <v>0</v>
      </c>
      <c r="H82">
        <v>0</v>
      </c>
    </row>
    <row r="83" spans="1:8" x14ac:dyDescent="0.3">
      <c r="A83" t="s">
        <v>127</v>
      </c>
      <c r="B83" t="s">
        <v>144</v>
      </c>
      <c r="C83" t="s">
        <v>123</v>
      </c>
      <c r="D83" t="s">
        <v>3</v>
      </c>
      <c r="E83">
        <v>36.9789539531074</v>
      </c>
      <c r="F83">
        <v>0</v>
      </c>
      <c r="G83">
        <v>0</v>
      </c>
      <c r="H83">
        <v>0</v>
      </c>
    </row>
    <row r="84" spans="1:8" x14ac:dyDescent="0.3">
      <c r="A84" t="s">
        <v>127</v>
      </c>
      <c r="B84" t="s">
        <v>144</v>
      </c>
      <c r="C84" t="s">
        <v>123</v>
      </c>
      <c r="D84" t="s">
        <v>46</v>
      </c>
      <c r="E84">
        <v>41.147429891273902</v>
      </c>
      <c r="F84">
        <v>0</v>
      </c>
      <c r="G84">
        <v>0</v>
      </c>
      <c r="H84">
        <v>0</v>
      </c>
    </row>
    <row r="85" spans="1:8" x14ac:dyDescent="0.3">
      <c r="A85" t="s">
        <v>127</v>
      </c>
      <c r="B85" t="s">
        <v>144</v>
      </c>
      <c r="C85" t="s">
        <v>123</v>
      </c>
      <c r="D85" t="s">
        <v>4</v>
      </c>
      <c r="E85">
        <v>42.560985308663</v>
      </c>
      <c r="F85">
        <v>0</v>
      </c>
      <c r="G85">
        <v>0</v>
      </c>
      <c r="H8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26D6-50CD-400D-8826-52AF0E310D6F}">
  <dimension ref="A1:T18"/>
  <sheetViews>
    <sheetView topLeftCell="C1" zoomScale="85" zoomScaleNormal="85" workbookViewId="0">
      <selection activeCell="G16" sqref="G16"/>
    </sheetView>
  </sheetViews>
  <sheetFormatPr defaultColWidth="11.5546875" defaultRowHeight="14.4" x14ac:dyDescent="0.3"/>
  <cols>
    <col min="2" max="2" width="18.109375" bestFit="1" customWidth="1"/>
    <col min="3" max="3" width="15.6640625" bestFit="1" customWidth="1"/>
    <col min="4" max="11" width="11.5546875" style="2"/>
  </cols>
  <sheetData>
    <row r="1" spans="1:20" x14ac:dyDescent="0.3">
      <c r="A1" t="s">
        <v>128</v>
      </c>
      <c r="B1" t="s">
        <v>64</v>
      </c>
      <c r="C1" t="s">
        <v>47</v>
      </c>
      <c r="D1" s="2" t="s">
        <v>70</v>
      </c>
      <c r="E1" s="2" t="s">
        <v>71</v>
      </c>
      <c r="F1" s="2" t="s">
        <v>72</v>
      </c>
      <c r="G1" s="2" t="s">
        <v>73</v>
      </c>
      <c r="H1" s="2" t="s">
        <v>74</v>
      </c>
      <c r="I1" s="2" t="s">
        <v>75</v>
      </c>
      <c r="J1" s="2" t="s">
        <v>76</v>
      </c>
      <c r="K1" s="2" t="s">
        <v>77</v>
      </c>
    </row>
    <row r="2" spans="1:20" x14ac:dyDescent="0.3">
      <c r="A2" t="s">
        <v>129</v>
      </c>
      <c r="B2" t="s">
        <v>126</v>
      </c>
      <c r="C2" t="s">
        <v>52</v>
      </c>
      <c r="D2" s="2">
        <v>4.65652807060727</v>
      </c>
      <c r="E2" s="2">
        <v>8.6827295817011692</v>
      </c>
      <c r="F2" s="2">
        <v>20.016754519763701</v>
      </c>
      <c r="G2" s="2">
        <v>24.875517402756699</v>
      </c>
      <c r="H2" s="2">
        <v>27.880110509978699</v>
      </c>
      <c r="I2" s="2">
        <v>44.416406199474402</v>
      </c>
      <c r="J2" s="2">
        <v>39.252751675805499</v>
      </c>
      <c r="K2" s="2">
        <v>78.998321674685101</v>
      </c>
    </row>
    <row r="3" spans="1:20" x14ac:dyDescent="0.3">
      <c r="A3" t="s">
        <v>129</v>
      </c>
      <c r="B3" t="s">
        <v>126</v>
      </c>
      <c r="C3" t="s">
        <v>54</v>
      </c>
      <c r="D3" s="2">
        <v>4.6772041560326496</v>
      </c>
      <c r="E3" s="2">
        <v>8.7212829536200296</v>
      </c>
      <c r="F3" s="2">
        <v>20.105633641743498</v>
      </c>
      <c r="G3" s="2">
        <v>24.985970580536598</v>
      </c>
      <c r="H3" s="2">
        <v>28.0039047914333</v>
      </c>
      <c r="I3" s="2">
        <v>44.6136255429305</v>
      </c>
      <c r="J3" s="2">
        <v>39.427043172500802</v>
      </c>
      <c r="K3" s="2">
        <v>79.349092897931399</v>
      </c>
    </row>
    <row r="4" spans="1:20" x14ac:dyDescent="0.3">
      <c r="A4" t="s">
        <v>129</v>
      </c>
      <c r="B4" t="s">
        <v>126</v>
      </c>
      <c r="C4" t="s">
        <v>56</v>
      </c>
      <c r="D4" s="2">
        <v>5.2044449483773603</v>
      </c>
      <c r="E4" s="2">
        <v>9.7043950824327698</v>
      </c>
      <c r="F4" s="2">
        <v>22.372053891582802</v>
      </c>
      <c r="G4" s="2">
        <v>27.802529893944499</v>
      </c>
      <c r="H4" s="2">
        <v>31.1606626447198</v>
      </c>
      <c r="I4" s="2">
        <v>49.642724657683701</v>
      </c>
      <c r="J4" s="2">
        <v>43.871481513997303</v>
      </c>
      <c r="K4" s="2">
        <v>88.293769507221398</v>
      </c>
    </row>
    <row r="5" spans="1:20" x14ac:dyDescent="0.3">
      <c r="A5" t="s">
        <v>129</v>
      </c>
      <c r="B5" t="s">
        <v>126</v>
      </c>
      <c r="C5" t="s">
        <v>58</v>
      </c>
      <c r="D5" s="2">
        <v>5.3832354918140002</v>
      </c>
      <c r="E5" s="2">
        <v>10.037774354905</v>
      </c>
      <c r="F5" s="2">
        <v>23.140610714211402</v>
      </c>
      <c r="G5" s="2">
        <v>28.7576422023572</v>
      </c>
      <c r="H5" s="2">
        <v>32.231138336816898</v>
      </c>
      <c r="I5" s="2">
        <v>51.3481226025675</v>
      </c>
      <c r="J5" s="2">
        <v>45.3786174524232</v>
      </c>
      <c r="K5" s="2">
        <v>91.326963476769905</v>
      </c>
    </row>
    <row r="6" spans="1:20" x14ac:dyDescent="0.3">
      <c r="A6" t="s">
        <v>143</v>
      </c>
      <c r="B6" t="s">
        <v>126</v>
      </c>
      <c r="C6" t="s">
        <v>52</v>
      </c>
      <c r="D6" s="2">
        <v>9.0766664207512893</v>
      </c>
      <c r="E6" s="2">
        <v>15.901472576241201</v>
      </c>
      <c r="F6" s="2">
        <v>38.226026701427003</v>
      </c>
      <c r="G6" s="2">
        <v>45.592291308537199</v>
      </c>
      <c r="H6" s="2">
        <v>41.803720871414697</v>
      </c>
      <c r="I6" s="2">
        <v>71.724993883588795</v>
      </c>
      <c r="J6" s="2">
        <v>39.494322590269697</v>
      </c>
      <c r="K6" s="2">
        <v>89.900050538459894</v>
      </c>
    </row>
    <row r="7" spans="1:20" x14ac:dyDescent="0.3">
      <c r="A7" t="s">
        <v>143</v>
      </c>
      <c r="B7" t="s">
        <v>126</v>
      </c>
      <c r="C7" t="s">
        <v>54</v>
      </c>
      <c r="D7" s="2">
        <v>10.147003543339601</v>
      </c>
      <c r="E7" s="2">
        <v>17.776603336060699</v>
      </c>
      <c r="F7" s="2">
        <v>42.733709757185203</v>
      </c>
      <c r="G7" s="2">
        <v>50.9686177734851</v>
      </c>
      <c r="H7" s="2">
        <v>46.7332921740133</v>
      </c>
      <c r="I7" s="2">
        <v>80.182936481932501</v>
      </c>
      <c r="J7" s="2">
        <v>44.151565419332996</v>
      </c>
      <c r="K7" s="2">
        <v>100.501229093826</v>
      </c>
    </row>
    <row r="8" spans="1:20" x14ac:dyDescent="0.3">
      <c r="A8" t="s">
        <v>143</v>
      </c>
      <c r="B8" t="s">
        <v>126</v>
      </c>
      <c r="C8" t="s">
        <v>56</v>
      </c>
      <c r="D8" s="2">
        <v>12.6894602909002</v>
      </c>
      <c r="E8" s="2">
        <v>22.230750307374301</v>
      </c>
      <c r="F8" s="2">
        <v>53.441167210648501</v>
      </c>
      <c r="G8" s="2">
        <v>63.739432883438496</v>
      </c>
      <c r="H8" s="2">
        <v>58.442894276353201</v>
      </c>
      <c r="I8" s="2">
        <v>100.273759060931</v>
      </c>
      <c r="J8" s="2">
        <v>55.214284076746601</v>
      </c>
      <c r="K8" s="2">
        <v>125.683050205483</v>
      </c>
    </row>
    <row r="9" spans="1:20" x14ac:dyDescent="0.3">
      <c r="A9" t="s">
        <v>143</v>
      </c>
      <c r="B9" t="s">
        <v>126</v>
      </c>
      <c r="C9" t="s">
        <v>58</v>
      </c>
      <c r="D9" s="2">
        <v>16.3082169973036</v>
      </c>
      <c r="E9" s="2">
        <v>28.570474371200799</v>
      </c>
      <c r="F9" s="2">
        <v>68.681419972244797</v>
      </c>
      <c r="G9" s="2">
        <v>81.916525913525703</v>
      </c>
      <c r="H9" s="2">
        <v>75.109530268416705</v>
      </c>
      <c r="I9" s="2">
        <v>128.869643342806</v>
      </c>
      <c r="J9" s="2">
        <v>70.960191011438994</v>
      </c>
      <c r="K9" s="2">
        <v>161.525108920816</v>
      </c>
    </row>
    <row r="11" spans="1:20" x14ac:dyDescent="0.3">
      <c r="N11" s="2"/>
      <c r="O11" s="2"/>
      <c r="P11" s="2"/>
      <c r="Q11" s="2"/>
      <c r="R11" s="2"/>
      <c r="S11" s="2"/>
      <c r="T11" s="2"/>
    </row>
    <row r="12" spans="1:20" x14ac:dyDescent="0.3">
      <c r="N12" s="2"/>
      <c r="O12" s="2"/>
      <c r="P12" s="2"/>
      <c r="Q12" s="2"/>
      <c r="R12" s="2"/>
      <c r="S12" s="2"/>
      <c r="T12" s="2"/>
    </row>
    <row r="13" spans="1:20" x14ac:dyDescent="0.3">
      <c r="N13" s="2"/>
      <c r="O13" s="2"/>
      <c r="P13" s="2"/>
      <c r="Q13" s="2"/>
      <c r="R13" s="2"/>
      <c r="S13" s="2"/>
      <c r="T13" s="2"/>
    </row>
    <row r="14" spans="1:20" x14ac:dyDescent="0.3">
      <c r="N14" s="2"/>
      <c r="O14" s="2"/>
      <c r="P14" s="2"/>
      <c r="Q14" s="2"/>
      <c r="R14" s="2"/>
      <c r="S14" s="2"/>
      <c r="T14" s="2"/>
    </row>
    <row r="15" spans="1:20" x14ac:dyDescent="0.3">
      <c r="N15" s="2"/>
      <c r="O15" s="2"/>
      <c r="P15" s="2"/>
      <c r="Q15" s="2"/>
      <c r="R15" s="2"/>
      <c r="S15" s="2"/>
      <c r="T15" s="2"/>
    </row>
    <row r="16" spans="1:20" x14ac:dyDescent="0.3">
      <c r="N16" s="2"/>
      <c r="O16" s="2"/>
      <c r="P16" s="2"/>
      <c r="Q16" s="2"/>
      <c r="R16" s="2"/>
      <c r="S16" s="2"/>
      <c r="T16" s="2"/>
    </row>
    <row r="17" spans="14:20" x14ac:dyDescent="0.3">
      <c r="N17" s="2"/>
      <c r="O17" s="2"/>
      <c r="P17" s="2"/>
      <c r="Q17" s="2"/>
      <c r="R17" s="2"/>
      <c r="S17" s="2"/>
      <c r="T17" s="2"/>
    </row>
    <row r="18" spans="14:20" x14ac:dyDescent="0.3">
      <c r="N18" s="2"/>
      <c r="O18" s="2"/>
      <c r="P18" s="2"/>
      <c r="Q18" s="2"/>
      <c r="R18" s="2"/>
      <c r="S18" s="2"/>
      <c r="T18" s="2"/>
    </row>
  </sheetData>
  <sortState xmlns:xlrd2="http://schemas.microsoft.com/office/spreadsheetml/2017/richdata2" ref="A5:K10">
    <sortCondition ref="A1:A10"/>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F2E7-DA09-4463-9C42-4413CED676C2}">
  <dimension ref="A1:G305"/>
  <sheetViews>
    <sheetView workbookViewId="0">
      <selection activeCell="L12" sqref="L12"/>
    </sheetView>
  </sheetViews>
  <sheetFormatPr defaultColWidth="11.5546875" defaultRowHeight="14.4" x14ac:dyDescent="0.3"/>
  <cols>
    <col min="2" max="2" width="14.6640625" bestFit="1" customWidth="1"/>
    <col min="4" max="4" width="15.44140625" bestFit="1" customWidth="1"/>
  </cols>
  <sheetData>
    <row r="1" spans="1:7" x14ac:dyDescent="0.3">
      <c r="A1" t="s">
        <v>128</v>
      </c>
      <c r="B1" t="s">
        <v>130</v>
      </c>
      <c r="C1" t="s">
        <v>131</v>
      </c>
      <c r="D1" t="s">
        <v>47</v>
      </c>
      <c r="E1" t="s">
        <v>7</v>
      </c>
      <c r="F1" t="s">
        <v>132</v>
      </c>
      <c r="G1" t="s">
        <v>78</v>
      </c>
    </row>
    <row r="2" spans="1:7" x14ac:dyDescent="0.3">
      <c r="A2" t="s">
        <v>129</v>
      </c>
      <c r="B2" t="s">
        <v>113</v>
      </c>
      <c r="C2">
        <v>30</v>
      </c>
      <c r="D2" t="s">
        <v>4</v>
      </c>
      <c r="E2" t="s">
        <v>133</v>
      </c>
      <c r="F2">
        <v>25.4604072696015</v>
      </c>
      <c r="G2">
        <v>3.9905920531083702E-2</v>
      </c>
    </row>
    <row r="3" spans="1:7" x14ac:dyDescent="0.3">
      <c r="A3" t="s">
        <v>129</v>
      </c>
      <c r="B3" t="s">
        <v>113</v>
      </c>
      <c r="C3">
        <v>30</v>
      </c>
      <c r="D3" t="s">
        <v>4</v>
      </c>
      <c r="E3" t="s">
        <v>134</v>
      </c>
      <c r="F3">
        <v>1.96971146230751</v>
      </c>
      <c r="G3">
        <v>0.21147150625482999</v>
      </c>
    </row>
    <row r="4" spans="1:7" x14ac:dyDescent="0.3">
      <c r="A4" t="s">
        <v>129</v>
      </c>
      <c r="B4" t="s">
        <v>113</v>
      </c>
      <c r="C4">
        <v>30</v>
      </c>
      <c r="D4" t="s">
        <v>4</v>
      </c>
      <c r="E4" t="s">
        <v>79</v>
      </c>
      <c r="F4">
        <v>24.056966971662298</v>
      </c>
      <c r="G4">
        <v>0.14650113469956899</v>
      </c>
    </row>
    <row r="5" spans="1:7" x14ac:dyDescent="0.3">
      <c r="A5" t="s">
        <v>129</v>
      </c>
      <c r="B5" t="s">
        <v>113</v>
      </c>
      <c r="C5">
        <v>30</v>
      </c>
      <c r="D5" t="s">
        <v>4</v>
      </c>
      <c r="E5" t="s">
        <v>135</v>
      </c>
      <c r="F5">
        <v>8.1835301649091701</v>
      </c>
      <c r="G5">
        <v>3.0238149237601E-2</v>
      </c>
    </row>
    <row r="6" spans="1:7" x14ac:dyDescent="0.3">
      <c r="A6" t="s">
        <v>129</v>
      </c>
      <c r="B6" t="s">
        <v>113</v>
      </c>
      <c r="C6">
        <v>30</v>
      </c>
      <c r="D6" t="s">
        <v>4</v>
      </c>
      <c r="E6" t="s">
        <v>136</v>
      </c>
      <c r="F6">
        <v>6.1122572640419603</v>
      </c>
      <c r="G6">
        <v>0.149415690119241</v>
      </c>
    </row>
    <row r="7" spans="1:7" x14ac:dyDescent="0.3">
      <c r="A7" t="s">
        <v>129</v>
      </c>
      <c r="B7" t="s">
        <v>113</v>
      </c>
      <c r="C7">
        <v>30</v>
      </c>
      <c r="D7" t="s">
        <v>4</v>
      </c>
      <c r="E7" t="s">
        <v>137</v>
      </c>
      <c r="F7">
        <v>1.96971146230751</v>
      </c>
      <c r="G7">
        <v>0.116123051020076</v>
      </c>
    </row>
    <row r="8" spans="1:7" x14ac:dyDescent="0.3">
      <c r="A8" t="s">
        <v>129</v>
      </c>
      <c r="B8" t="s">
        <v>113</v>
      </c>
      <c r="C8">
        <v>30</v>
      </c>
      <c r="D8" t="s">
        <v>4</v>
      </c>
      <c r="E8" t="s">
        <v>138</v>
      </c>
      <c r="F8">
        <v>23.1472259652361</v>
      </c>
      <c r="G8">
        <v>0.109085018095716</v>
      </c>
    </row>
    <row r="9" spans="1:7" x14ac:dyDescent="0.3">
      <c r="A9" t="s">
        <v>129</v>
      </c>
      <c r="B9" t="s">
        <v>113</v>
      </c>
      <c r="C9">
        <v>30</v>
      </c>
      <c r="D9" t="s">
        <v>4</v>
      </c>
      <c r="E9" t="s">
        <v>139</v>
      </c>
      <c r="F9">
        <v>1.96971146230751</v>
      </c>
      <c r="G9">
        <v>0.10835816425373899</v>
      </c>
    </row>
    <row r="10" spans="1:7" x14ac:dyDescent="0.3">
      <c r="A10" t="s">
        <v>129</v>
      </c>
      <c r="B10" t="s">
        <v>113</v>
      </c>
      <c r="C10">
        <v>30</v>
      </c>
      <c r="D10" t="s">
        <v>2</v>
      </c>
      <c r="E10" t="s">
        <v>133</v>
      </c>
      <c r="F10">
        <v>22.023391196665401</v>
      </c>
      <c r="G10">
        <v>3.4518838980569497E-2</v>
      </c>
    </row>
    <row r="11" spans="1:7" x14ac:dyDescent="0.3">
      <c r="A11" t="s">
        <v>129</v>
      </c>
      <c r="B11" t="s">
        <v>113</v>
      </c>
      <c r="C11">
        <v>30</v>
      </c>
      <c r="D11" t="s">
        <v>2</v>
      </c>
      <c r="E11" t="s">
        <v>134</v>
      </c>
      <c r="F11">
        <v>1.7038111613692699</v>
      </c>
      <c r="G11">
        <v>0.18292400666971401</v>
      </c>
    </row>
    <row r="12" spans="1:7" x14ac:dyDescent="0.3">
      <c r="A12" t="s">
        <v>129</v>
      </c>
      <c r="B12" t="s">
        <v>113</v>
      </c>
      <c r="C12">
        <v>30</v>
      </c>
      <c r="D12" t="s">
        <v>2</v>
      </c>
      <c r="E12" t="s">
        <v>79</v>
      </c>
      <c r="F12">
        <v>20.809407681971798</v>
      </c>
      <c r="G12">
        <v>0.12672428080505199</v>
      </c>
    </row>
    <row r="13" spans="1:7" x14ac:dyDescent="0.3">
      <c r="A13" t="s">
        <v>129</v>
      </c>
      <c r="B13" t="s">
        <v>113</v>
      </c>
      <c r="C13">
        <v>30</v>
      </c>
      <c r="D13" t="s">
        <v>2</v>
      </c>
      <c r="E13" t="s">
        <v>135</v>
      </c>
      <c r="F13">
        <v>7.0787982408549501</v>
      </c>
      <c r="G13">
        <v>2.61561640656841E-2</v>
      </c>
    </row>
    <row r="14" spans="1:7" x14ac:dyDescent="0.3">
      <c r="A14" t="s">
        <v>129</v>
      </c>
      <c r="B14" t="s">
        <v>113</v>
      </c>
      <c r="C14">
        <v>30</v>
      </c>
      <c r="D14" t="s">
        <v>2</v>
      </c>
      <c r="E14" t="s">
        <v>136</v>
      </c>
      <c r="F14">
        <v>5.2871358810263898</v>
      </c>
      <c r="G14">
        <v>0.129245387144479</v>
      </c>
    </row>
    <row r="15" spans="1:7" x14ac:dyDescent="0.3">
      <c r="A15" t="s">
        <v>129</v>
      </c>
      <c r="B15" t="s">
        <v>113</v>
      </c>
      <c r="C15">
        <v>30</v>
      </c>
      <c r="D15" t="s">
        <v>2</v>
      </c>
      <c r="E15" t="s">
        <v>137</v>
      </c>
      <c r="F15">
        <v>1.7038111613692699</v>
      </c>
      <c r="G15">
        <v>0.10044707268366899</v>
      </c>
    </row>
    <row r="16" spans="1:7" x14ac:dyDescent="0.3">
      <c r="A16" t="s">
        <v>129</v>
      </c>
      <c r="B16" t="s">
        <v>113</v>
      </c>
      <c r="C16">
        <v>30</v>
      </c>
      <c r="D16" t="s">
        <v>2</v>
      </c>
      <c r="E16" t="s">
        <v>138</v>
      </c>
      <c r="F16">
        <v>20.022476747991998</v>
      </c>
      <c r="G16">
        <v>9.4359135805563002E-2</v>
      </c>
    </row>
    <row r="17" spans="1:7" x14ac:dyDescent="0.3">
      <c r="A17" t="s">
        <v>129</v>
      </c>
      <c r="B17" t="s">
        <v>113</v>
      </c>
      <c r="C17">
        <v>30</v>
      </c>
      <c r="D17" t="s">
        <v>2</v>
      </c>
      <c r="E17" t="s">
        <v>139</v>
      </c>
      <c r="F17">
        <v>1.7038111613692699</v>
      </c>
      <c r="G17">
        <v>9.3730403266639298E-2</v>
      </c>
    </row>
    <row r="18" spans="1:7" x14ac:dyDescent="0.3">
      <c r="A18" t="s">
        <v>129</v>
      </c>
      <c r="B18" t="s">
        <v>113</v>
      </c>
      <c r="C18">
        <v>30</v>
      </c>
      <c r="D18" t="s">
        <v>46</v>
      </c>
      <c r="E18" t="s">
        <v>133</v>
      </c>
      <c r="F18">
        <v>24.614804275125</v>
      </c>
      <c r="G18">
        <v>3.8580546371074997E-2</v>
      </c>
    </row>
    <row r="19" spans="1:7" x14ac:dyDescent="0.3">
      <c r="A19" t="s">
        <v>129</v>
      </c>
      <c r="B19" t="s">
        <v>113</v>
      </c>
      <c r="C19">
        <v>30</v>
      </c>
      <c r="D19" t="s">
        <v>46</v>
      </c>
      <c r="E19" t="s">
        <v>134</v>
      </c>
      <c r="F19">
        <v>1.9042924808613499</v>
      </c>
      <c r="G19">
        <v>0.20444801534826301</v>
      </c>
    </row>
    <row r="20" spans="1:7" x14ac:dyDescent="0.3">
      <c r="A20" t="s">
        <v>129</v>
      </c>
      <c r="B20" t="s">
        <v>113</v>
      </c>
      <c r="C20">
        <v>30</v>
      </c>
      <c r="D20" t="s">
        <v>46</v>
      </c>
      <c r="E20" t="s">
        <v>79</v>
      </c>
      <c r="F20">
        <v>23.257975694977201</v>
      </c>
      <c r="G20">
        <v>0.14163547026284701</v>
      </c>
    </row>
    <row r="21" spans="1:7" x14ac:dyDescent="0.3">
      <c r="A21" t="s">
        <v>129</v>
      </c>
      <c r="B21" t="s">
        <v>113</v>
      </c>
      <c r="C21">
        <v>30</v>
      </c>
      <c r="D21" t="s">
        <v>46</v>
      </c>
      <c r="E21" t="s">
        <v>135</v>
      </c>
      <c r="F21">
        <v>7.9117349206477501</v>
      </c>
      <c r="G21">
        <v>2.9233865634751E-2</v>
      </c>
    </row>
    <row r="22" spans="1:7" x14ac:dyDescent="0.3">
      <c r="A22" t="s">
        <v>129</v>
      </c>
      <c r="B22" t="s">
        <v>113</v>
      </c>
      <c r="C22">
        <v>30</v>
      </c>
      <c r="D22" t="s">
        <v>46</v>
      </c>
      <c r="E22" t="s">
        <v>136</v>
      </c>
      <c r="F22">
        <v>5.9092541073856202</v>
      </c>
      <c r="G22">
        <v>0.14445322610015701</v>
      </c>
    </row>
    <row r="23" spans="1:7" x14ac:dyDescent="0.3">
      <c r="A23" t="s">
        <v>129</v>
      </c>
      <c r="B23" t="s">
        <v>113</v>
      </c>
      <c r="C23">
        <v>30</v>
      </c>
      <c r="D23" t="s">
        <v>46</v>
      </c>
      <c r="E23" t="s">
        <v>137</v>
      </c>
      <c r="F23">
        <v>1.9042924808613499</v>
      </c>
      <c r="G23">
        <v>0.112266317754557</v>
      </c>
    </row>
    <row r="24" spans="1:7" x14ac:dyDescent="0.3">
      <c r="A24" t="s">
        <v>129</v>
      </c>
      <c r="B24" t="s">
        <v>113</v>
      </c>
      <c r="C24">
        <v>30</v>
      </c>
      <c r="D24" t="s">
        <v>46</v>
      </c>
      <c r="E24" t="s">
        <v>138</v>
      </c>
      <c r="F24">
        <v>22.378449433786098</v>
      </c>
      <c r="G24">
        <v>0.105462035282539</v>
      </c>
    </row>
    <row r="25" spans="1:7" x14ac:dyDescent="0.3">
      <c r="A25" t="s">
        <v>129</v>
      </c>
      <c r="B25" t="s">
        <v>113</v>
      </c>
      <c r="C25">
        <v>30</v>
      </c>
      <c r="D25" t="s">
        <v>46</v>
      </c>
      <c r="E25" t="s">
        <v>139</v>
      </c>
      <c r="F25">
        <v>1.9042924808613499</v>
      </c>
      <c r="G25">
        <v>0.104759322051464</v>
      </c>
    </row>
    <row r="26" spans="1:7" x14ac:dyDescent="0.3">
      <c r="A26" t="s">
        <v>129</v>
      </c>
      <c r="B26" t="s">
        <v>113</v>
      </c>
      <c r="C26">
        <v>30</v>
      </c>
      <c r="D26" t="s">
        <v>3</v>
      </c>
      <c r="E26" t="s">
        <v>133</v>
      </c>
      <c r="F26">
        <v>22.121180259854601</v>
      </c>
      <c r="G26">
        <v>3.4672110785812699E-2</v>
      </c>
    </row>
    <row r="27" spans="1:7" x14ac:dyDescent="0.3">
      <c r="A27" t="s">
        <v>129</v>
      </c>
      <c r="B27" t="s">
        <v>113</v>
      </c>
      <c r="C27">
        <v>30</v>
      </c>
      <c r="D27" t="s">
        <v>3</v>
      </c>
      <c r="E27" t="s">
        <v>134</v>
      </c>
      <c r="F27">
        <v>1.71137648570255</v>
      </c>
      <c r="G27">
        <v>0.18373623250211599</v>
      </c>
    </row>
    <row r="28" spans="1:7" x14ac:dyDescent="0.3">
      <c r="A28" t="s">
        <v>129</v>
      </c>
      <c r="B28" t="s">
        <v>113</v>
      </c>
      <c r="C28">
        <v>30</v>
      </c>
      <c r="D28" t="s">
        <v>3</v>
      </c>
      <c r="E28" t="s">
        <v>79</v>
      </c>
      <c r="F28">
        <v>20.901806371373102</v>
      </c>
      <c r="G28">
        <v>0.12728696656913799</v>
      </c>
    </row>
    <row r="29" spans="1:7" x14ac:dyDescent="0.3">
      <c r="A29" t="s">
        <v>129</v>
      </c>
      <c r="B29" t="s">
        <v>113</v>
      </c>
      <c r="C29">
        <v>30</v>
      </c>
      <c r="D29" t="s">
        <v>3</v>
      </c>
      <c r="E29" t="s">
        <v>135</v>
      </c>
      <c r="F29">
        <v>7.1102297784550101</v>
      </c>
      <c r="G29">
        <v>2.62723036173893E-2</v>
      </c>
    </row>
    <row r="30" spans="1:7" x14ac:dyDescent="0.3">
      <c r="A30" t="s">
        <v>129</v>
      </c>
      <c r="B30" t="s">
        <v>113</v>
      </c>
      <c r="C30">
        <v>30</v>
      </c>
      <c r="D30" t="s">
        <v>3</v>
      </c>
      <c r="E30" t="s">
        <v>136</v>
      </c>
      <c r="F30">
        <v>5.3106120142042004</v>
      </c>
      <c r="G30">
        <v>0.12981926721669601</v>
      </c>
    </row>
    <row r="31" spans="1:7" x14ac:dyDescent="0.3">
      <c r="A31" t="s">
        <v>129</v>
      </c>
      <c r="B31" t="s">
        <v>113</v>
      </c>
      <c r="C31">
        <v>30</v>
      </c>
      <c r="D31" t="s">
        <v>3</v>
      </c>
      <c r="E31" t="s">
        <v>137</v>
      </c>
      <c r="F31">
        <v>1.71137648570255</v>
      </c>
      <c r="G31">
        <v>0.100893081431827</v>
      </c>
    </row>
    <row r="32" spans="1:7" x14ac:dyDescent="0.3">
      <c r="A32" t="s">
        <v>129</v>
      </c>
      <c r="B32" t="s">
        <v>113</v>
      </c>
      <c r="C32">
        <v>30</v>
      </c>
      <c r="D32" t="s">
        <v>3</v>
      </c>
      <c r="E32" t="s">
        <v>138</v>
      </c>
      <c r="F32">
        <v>20.111381278017902</v>
      </c>
      <c r="G32">
        <v>9.4778112674809706E-2</v>
      </c>
    </row>
    <row r="33" spans="1:7" x14ac:dyDescent="0.3">
      <c r="A33" t="s">
        <v>129</v>
      </c>
      <c r="B33" t="s">
        <v>113</v>
      </c>
      <c r="C33">
        <v>30</v>
      </c>
      <c r="D33" t="s">
        <v>3</v>
      </c>
      <c r="E33" t="s">
        <v>139</v>
      </c>
      <c r="F33">
        <v>1.71137648570255</v>
      </c>
      <c r="G33">
        <v>9.4146588414781601E-2</v>
      </c>
    </row>
    <row r="34" spans="1:7" x14ac:dyDescent="0.3">
      <c r="A34" t="s">
        <v>129</v>
      </c>
      <c r="B34" t="s">
        <v>113</v>
      </c>
      <c r="C34">
        <v>40</v>
      </c>
      <c r="D34" t="s">
        <v>4</v>
      </c>
      <c r="E34" t="s">
        <v>133</v>
      </c>
      <c r="F34">
        <v>25.4604072696015</v>
      </c>
      <c r="G34">
        <v>3.9905920531083702E-2</v>
      </c>
    </row>
    <row r="35" spans="1:7" x14ac:dyDescent="0.3">
      <c r="A35" t="s">
        <v>129</v>
      </c>
      <c r="B35" t="s">
        <v>113</v>
      </c>
      <c r="C35">
        <v>40</v>
      </c>
      <c r="D35" t="s">
        <v>4</v>
      </c>
      <c r="E35" t="s">
        <v>134</v>
      </c>
      <c r="F35">
        <v>1.96971146230751</v>
      </c>
      <c r="G35">
        <v>0.21147150625482999</v>
      </c>
    </row>
    <row r="36" spans="1:7" x14ac:dyDescent="0.3">
      <c r="A36" t="s">
        <v>129</v>
      </c>
      <c r="B36" t="s">
        <v>113</v>
      </c>
      <c r="C36">
        <v>40</v>
      </c>
      <c r="D36" t="s">
        <v>4</v>
      </c>
      <c r="E36" t="s">
        <v>79</v>
      </c>
      <c r="F36">
        <v>24.056966971662298</v>
      </c>
      <c r="G36">
        <v>0.10987585102467699</v>
      </c>
    </row>
    <row r="37" spans="1:7" x14ac:dyDescent="0.3">
      <c r="A37" t="s">
        <v>129</v>
      </c>
      <c r="B37" t="s">
        <v>113</v>
      </c>
      <c r="C37">
        <v>40</v>
      </c>
      <c r="D37" t="s">
        <v>4</v>
      </c>
      <c r="E37" t="s">
        <v>135</v>
      </c>
      <c r="F37">
        <v>8.1835301649091701</v>
      </c>
      <c r="G37">
        <v>3.0238149237601E-2</v>
      </c>
    </row>
    <row r="38" spans="1:7" x14ac:dyDescent="0.3">
      <c r="A38" t="s">
        <v>129</v>
      </c>
      <c r="B38" t="s">
        <v>113</v>
      </c>
      <c r="C38">
        <v>40</v>
      </c>
      <c r="D38" t="s">
        <v>4</v>
      </c>
      <c r="E38" t="s">
        <v>136</v>
      </c>
      <c r="F38">
        <v>6.1122572640419603</v>
      </c>
      <c r="G38">
        <v>0.149415690119241</v>
      </c>
    </row>
    <row r="39" spans="1:7" x14ac:dyDescent="0.3">
      <c r="A39" t="s">
        <v>129</v>
      </c>
      <c r="B39" t="s">
        <v>113</v>
      </c>
      <c r="C39">
        <v>40</v>
      </c>
      <c r="D39" t="s">
        <v>4</v>
      </c>
      <c r="E39" t="s">
        <v>137</v>
      </c>
      <c r="F39">
        <v>1.96971146230751</v>
      </c>
      <c r="G39">
        <v>0.116123051020076</v>
      </c>
    </row>
    <row r="40" spans="1:7" x14ac:dyDescent="0.3">
      <c r="A40" t="s">
        <v>129</v>
      </c>
      <c r="B40" t="s">
        <v>113</v>
      </c>
      <c r="C40">
        <v>40</v>
      </c>
      <c r="D40" t="s">
        <v>4</v>
      </c>
      <c r="E40" t="s">
        <v>138</v>
      </c>
      <c r="F40">
        <v>23.1472259652361</v>
      </c>
      <c r="G40">
        <v>0.109085018095716</v>
      </c>
    </row>
    <row r="41" spans="1:7" x14ac:dyDescent="0.3">
      <c r="A41" t="s">
        <v>129</v>
      </c>
      <c r="B41" t="s">
        <v>113</v>
      </c>
      <c r="C41">
        <v>40</v>
      </c>
      <c r="D41" t="s">
        <v>4</v>
      </c>
      <c r="E41" t="s">
        <v>139</v>
      </c>
      <c r="F41">
        <v>1.96971146230751</v>
      </c>
      <c r="G41">
        <v>0.10835816425373899</v>
      </c>
    </row>
    <row r="42" spans="1:7" x14ac:dyDescent="0.3">
      <c r="A42" t="s">
        <v>129</v>
      </c>
      <c r="B42" t="s">
        <v>113</v>
      </c>
      <c r="C42">
        <v>40</v>
      </c>
      <c r="D42" t="s">
        <v>2</v>
      </c>
      <c r="E42" t="s">
        <v>133</v>
      </c>
      <c r="F42">
        <v>22.023391196665401</v>
      </c>
      <c r="G42">
        <v>3.4518838980569497E-2</v>
      </c>
    </row>
    <row r="43" spans="1:7" x14ac:dyDescent="0.3">
      <c r="A43" t="s">
        <v>129</v>
      </c>
      <c r="B43" t="s">
        <v>113</v>
      </c>
      <c r="C43">
        <v>40</v>
      </c>
      <c r="D43" t="s">
        <v>2</v>
      </c>
      <c r="E43" t="s">
        <v>134</v>
      </c>
      <c r="F43">
        <v>1.7038111613692699</v>
      </c>
      <c r="G43">
        <v>0.18292400666971401</v>
      </c>
    </row>
    <row r="44" spans="1:7" x14ac:dyDescent="0.3">
      <c r="A44" t="s">
        <v>129</v>
      </c>
      <c r="B44" t="s">
        <v>113</v>
      </c>
      <c r="C44">
        <v>40</v>
      </c>
      <c r="D44" t="s">
        <v>2</v>
      </c>
      <c r="E44" t="s">
        <v>79</v>
      </c>
      <c r="F44">
        <v>20.809407681971798</v>
      </c>
      <c r="G44">
        <v>9.5043210603789202E-2</v>
      </c>
    </row>
    <row r="45" spans="1:7" x14ac:dyDescent="0.3">
      <c r="A45" t="s">
        <v>129</v>
      </c>
      <c r="B45" t="s">
        <v>113</v>
      </c>
      <c r="C45">
        <v>40</v>
      </c>
      <c r="D45" t="s">
        <v>2</v>
      </c>
      <c r="E45" t="s">
        <v>135</v>
      </c>
      <c r="F45">
        <v>7.0787982408549501</v>
      </c>
      <c r="G45">
        <v>2.61561640656841E-2</v>
      </c>
    </row>
    <row r="46" spans="1:7" x14ac:dyDescent="0.3">
      <c r="A46" t="s">
        <v>129</v>
      </c>
      <c r="B46" t="s">
        <v>113</v>
      </c>
      <c r="C46">
        <v>40</v>
      </c>
      <c r="D46" t="s">
        <v>2</v>
      </c>
      <c r="E46" t="s">
        <v>136</v>
      </c>
      <c r="F46">
        <v>5.2871358810263898</v>
      </c>
      <c r="G46">
        <v>0.129245387144479</v>
      </c>
    </row>
    <row r="47" spans="1:7" x14ac:dyDescent="0.3">
      <c r="A47" t="s">
        <v>129</v>
      </c>
      <c r="B47" t="s">
        <v>113</v>
      </c>
      <c r="C47">
        <v>40</v>
      </c>
      <c r="D47" t="s">
        <v>2</v>
      </c>
      <c r="E47" t="s">
        <v>137</v>
      </c>
      <c r="F47">
        <v>1.7038111613692699</v>
      </c>
      <c r="G47">
        <v>0.10044707268366899</v>
      </c>
    </row>
    <row r="48" spans="1:7" x14ac:dyDescent="0.3">
      <c r="A48" t="s">
        <v>129</v>
      </c>
      <c r="B48" t="s">
        <v>113</v>
      </c>
      <c r="C48">
        <v>40</v>
      </c>
      <c r="D48" t="s">
        <v>2</v>
      </c>
      <c r="E48" t="s">
        <v>138</v>
      </c>
      <c r="F48">
        <v>20.022476747991998</v>
      </c>
      <c r="G48">
        <v>9.4359135805563002E-2</v>
      </c>
    </row>
    <row r="49" spans="1:7" x14ac:dyDescent="0.3">
      <c r="A49" t="s">
        <v>129</v>
      </c>
      <c r="B49" t="s">
        <v>113</v>
      </c>
      <c r="C49">
        <v>40</v>
      </c>
      <c r="D49" t="s">
        <v>2</v>
      </c>
      <c r="E49" t="s">
        <v>139</v>
      </c>
      <c r="F49">
        <v>1.7038111613692699</v>
      </c>
      <c r="G49">
        <v>9.3730403266639298E-2</v>
      </c>
    </row>
    <row r="50" spans="1:7" x14ac:dyDescent="0.3">
      <c r="A50" t="s">
        <v>129</v>
      </c>
      <c r="B50" t="s">
        <v>113</v>
      </c>
      <c r="C50">
        <v>40</v>
      </c>
      <c r="D50" t="s">
        <v>46</v>
      </c>
      <c r="E50" t="s">
        <v>133</v>
      </c>
      <c r="F50">
        <v>24.614804275125</v>
      </c>
      <c r="G50">
        <v>3.8580546371074997E-2</v>
      </c>
    </row>
    <row r="51" spans="1:7" x14ac:dyDescent="0.3">
      <c r="A51" t="s">
        <v>129</v>
      </c>
      <c r="B51" t="s">
        <v>113</v>
      </c>
      <c r="C51">
        <v>40</v>
      </c>
      <c r="D51" t="s">
        <v>46</v>
      </c>
      <c r="E51" t="s">
        <v>134</v>
      </c>
      <c r="F51">
        <v>1.9042924808613499</v>
      </c>
      <c r="G51">
        <v>0.20444801534826301</v>
      </c>
    </row>
    <row r="52" spans="1:7" x14ac:dyDescent="0.3">
      <c r="A52" t="s">
        <v>129</v>
      </c>
      <c r="B52" t="s">
        <v>113</v>
      </c>
      <c r="C52">
        <v>40</v>
      </c>
      <c r="D52" t="s">
        <v>46</v>
      </c>
      <c r="E52" t="s">
        <v>79</v>
      </c>
      <c r="F52">
        <v>23.257975694977201</v>
      </c>
      <c r="G52">
        <v>0.10622660269713501</v>
      </c>
    </row>
    <row r="53" spans="1:7" x14ac:dyDescent="0.3">
      <c r="A53" t="s">
        <v>129</v>
      </c>
      <c r="B53" t="s">
        <v>113</v>
      </c>
      <c r="C53">
        <v>40</v>
      </c>
      <c r="D53" t="s">
        <v>46</v>
      </c>
      <c r="E53" t="s">
        <v>135</v>
      </c>
      <c r="F53">
        <v>7.9117349206477501</v>
      </c>
      <c r="G53">
        <v>2.9233865634751E-2</v>
      </c>
    </row>
    <row r="54" spans="1:7" x14ac:dyDescent="0.3">
      <c r="A54" t="s">
        <v>129</v>
      </c>
      <c r="B54" t="s">
        <v>113</v>
      </c>
      <c r="C54">
        <v>40</v>
      </c>
      <c r="D54" t="s">
        <v>46</v>
      </c>
      <c r="E54" t="s">
        <v>136</v>
      </c>
      <c r="F54">
        <v>5.9092541073856202</v>
      </c>
      <c r="G54">
        <v>0.14445322610015701</v>
      </c>
    </row>
    <row r="55" spans="1:7" x14ac:dyDescent="0.3">
      <c r="A55" t="s">
        <v>129</v>
      </c>
      <c r="B55" t="s">
        <v>113</v>
      </c>
      <c r="C55">
        <v>40</v>
      </c>
      <c r="D55" t="s">
        <v>46</v>
      </c>
      <c r="E55" t="s">
        <v>137</v>
      </c>
      <c r="F55">
        <v>1.9042924808613499</v>
      </c>
      <c r="G55">
        <v>0.112266317754557</v>
      </c>
    </row>
    <row r="56" spans="1:7" x14ac:dyDescent="0.3">
      <c r="A56" t="s">
        <v>129</v>
      </c>
      <c r="B56" t="s">
        <v>113</v>
      </c>
      <c r="C56">
        <v>40</v>
      </c>
      <c r="D56" t="s">
        <v>46</v>
      </c>
      <c r="E56" t="s">
        <v>138</v>
      </c>
      <c r="F56">
        <v>22.378449433786098</v>
      </c>
      <c r="G56">
        <v>0.105462035282539</v>
      </c>
    </row>
    <row r="57" spans="1:7" x14ac:dyDescent="0.3">
      <c r="A57" t="s">
        <v>129</v>
      </c>
      <c r="B57" t="s">
        <v>113</v>
      </c>
      <c r="C57">
        <v>40</v>
      </c>
      <c r="D57" t="s">
        <v>46</v>
      </c>
      <c r="E57" t="s">
        <v>139</v>
      </c>
      <c r="F57">
        <v>1.9042924808613499</v>
      </c>
      <c r="G57">
        <v>0.104759322051464</v>
      </c>
    </row>
    <row r="58" spans="1:7" x14ac:dyDescent="0.3">
      <c r="A58" t="s">
        <v>129</v>
      </c>
      <c r="B58" t="s">
        <v>113</v>
      </c>
      <c r="C58">
        <v>40</v>
      </c>
      <c r="D58" t="s">
        <v>3</v>
      </c>
      <c r="E58" t="s">
        <v>133</v>
      </c>
      <c r="F58">
        <v>22.121180259854601</v>
      </c>
      <c r="G58">
        <v>3.4672110785812699E-2</v>
      </c>
    </row>
    <row r="59" spans="1:7" x14ac:dyDescent="0.3">
      <c r="A59" t="s">
        <v>129</v>
      </c>
      <c r="B59" t="s">
        <v>113</v>
      </c>
      <c r="C59">
        <v>40</v>
      </c>
      <c r="D59" t="s">
        <v>3</v>
      </c>
      <c r="E59" t="s">
        <v>134</v>
      </c>
      <c r="F59">
        <v>1.71137648570255</v>
      </c>
      <c r="G59">
        <v>0.18373623250211599</v>
      </c>
    </row>
    <row r="60" spans="1:7" x14ac:dyDescent="0.3">
      <c r="A60" t="s">
        <v>129</v>
      </c>
      <c r="B60" t="s">
        <v>113</v>
      </c>
      <c r="C60">
        <v>40</v>
      </c>
      <c r="D60" t="s">
        <v>3</v>
      </c>
      <c r="E60" t="s">
        <v>79</v>
      </c>
      <c r="F60">
        <v>20.901806371373102</v>
      </c>
      <c r="G60">
        <v>9.5465224926853595E-2</v>
      </c>
    </row>
    <row r="61" spans="1:7" x14ac:dyDescent="0.3">
      <c r="A61" t="s">
        <v>129</v>
      </c>
      <c r="B61" t="s">
        <v>113</v>
      </c>
      <c r="C61">
        <v>40</v>
      </c>
      <c r="D61" t="s">
        <v>3</v>
      </c>
      <c r="E61" t="s">
        <v>135</v>
      </c>
      <c r="F61">
        <v>7.1102297784550101</v>
      </c>
      <c r="G61">
        <v>2.62723036173893E-2</v>
      </c>
    </row>
    <row r="62" spans="1:7" x14ac:dyDescent="0.3">
      <c r="A62" t="s">
        <v>129</v>
      </c>
      <c r="B62" t="s">
        <v>113</v>
      </c>
      <c r="C62">
        <v>40</v>
      </c>
      <c r="D62" t="s">
        <v>3</v>
      </c>
      <c r="E62" t="s">
        <v>136</v>
      </c>
      <c r="F62">
        <v>5.3106120142042004</v>
      </c>
      <c r="G62">
        <v>0.12981926721669601</v>
      </c>
    </row>
    <row r="63" spans="1:7" x14ac:dyDescent="0.3">
      <c r="A63" t="s">
        <v>129</v>
      </c>
      <c r="B63" t="s">
        <v>113</v>
      </c>
      <c r="C63">
        <v>40</v>
      </c>
      <c r="D63" t="s">
        <v>3</v>
      </c>
      <c r="E63" t="s">
        <v>137</v>
      </c>
      <c r="F63">
        <v>1.71137648570255</v>
      </c>
      <c r="G63">
        <v>0.100893081431827</v>
      </c>
    </row>
    <row r="64" spans="1:7" x14ac:dyDescent="0.3">
      <c r="A64" t="s">
        <v>129</v>
      </c>
      <c r="B64" t="s">
        <v>113</v>
      </c>
      <c r="C64">
        <v>40</v>
      </c>
      <c r="D64" t="s">
        <v>3</v>
      </c>
      <c r="E64" t="s">
        <v>138</v>
      </c>
      <c r="F64">
        <v>20.111381278017902</v>
      </c>
      <c r="G64">
        <v>9.4778112674809706E-2</v>
      </c>
    </row>
    <row r="65" spans="1:7" x14ac:dyDescent="0.3">
      <c r="A65" t="s">
        <v>129</v>
      </c>
      <c r="B65" t="s">
        <v>113</v>
      </c>
      <c r="C65">
        <v>40</v>
      </c>
      <c r="D65" t="s">
        <v>3</v>
      </c>
      <c r="E65" t="s">
        <v>139</v>
      </c>
      <c r="F65">
        <v>1.71137648570255</v>
      </c>
      <c r="G65">
        <v>9.4146588414781601E-2</v>
      </c>
    </row>
    <row r="66" spans="1:7" x14ac:dyDescent="0.3">
      <c r="A66" t="s">
        <v>129</v>
      </c>
      <c r="B66" t="s">
        <v>113</v>
      </c>
      <c r="C66">
        <v>50</v>
      </c>
      <c r="D66" t="s">
        <v>4</v>
      </c>
      <c r="E66" t="s">
        <v>133</v>
      </c>
      <c r="F66">
        <v>25.4604072696015</v>
      </c>
      <c r="G66">
        <v>3.9905920531083702E-2</v>
      </c>
    </row>
    <row r="67" spans="1:7" x14ac:dyDescent="0.3">
      <c r="A67" t="s">
        <v>129</v>
      </c>
      <c r="B67" t="s">
        <v>113</v>
      </c>
      <c r="C67">
        <v>50</v>
      </c>
      <c r="D67" t="s">
        <v>4</v>
      </c>
      <c r="E67" t="s">
        <v>134</v>
      </c>
      <c r="F67">
        <v>1.96971146230751</v>
      </c>
      <c r="G67">
        <v>0.21147150625482999</v>
      </c>
    </row>
    <row r="68" spans="1:7" x14ac:dyDescent="0.3">
      <c r="A68" t="s">
        <v>129</v>
      </c>
      <c r="B68" t="s">
        <v>113</v>
      </c>
      <c r="C68">
        <v>50</v>
      </c>
      <c r="D68" t="s">
        <v>4</v>
      </c>
      <c r="E68" t="s">
        <v>79</v>
      </c>
      <c r="F68">
        <v>24.056966971662298</v>
      </c>
      <c r="G68">
        <v>8.7900680819741603E-2</v>
      </c>
    </row>
    <row r="69" spans="1:7" x14ac:dyDescent="0.3">
      <c r="A69" t="s">
        <v>129</v>
      </c>
      <c r="B69" t="s">
        <v>113</v>
      </c>
      <c r="C69">
        <v>50</v>
      </c>
      <c r="D69" t="s">
        <v>4</v>
      </c>
      <c r="E69" t="s">
        <v>135</v>
      </c>
      <c r="F69">
        <v>8.1835301649091701</v>
      </c>
      <c r="G69">
        <v>3.0238149237601E-2</v>
      </c>
    </row>
    <row r="70" spans="1:7" x14ac:dyDescent="0.3">
      <c r="A70" t="s">
        <v>129</v>
      </c>
      <c r="B70" t="s">
        <v>113</v>
      </c>
      <c r="C70">
        <v>50</v>
      </c>
      <c r="D70" t="s">
        <v>4</v>
      </c>
      <c r="E70" t="s">
        <v>136</v>
      </c>
      <c r="F70">
        <v>6.1122572640419603</v>
      </c>
      <c r="G70">
        <v>0.149415690119241</v>
      </c>
    </row>
    <row r="71" spans="1:7" x14ac:dyDescent="0.3">
      <c r="A71" t="s">
        <v>129</v>
      </c>
      <c r="B71" t="s">
        <v>113</v>
      </c>
      <c r="C71">
        <v>50</v>
      </c>
      <c r="D71" t="s">
        <v>4</v>
      </c>
      <c r="E71" t="s">
        <v>137</v>
      </c>
      <c r="F71">
        <v>1.96971146230751</v>
      </c>
      <c r="G71">
        <v>0.116123051020076</v>
      </c>
    </row>
    <row r="72" spans="1:7" x14ac:dyDescent="0.3">
      <c r="A72" t="s">
        <v>129</v>
      </c>
      <c r="B72" t="s">
        <v>113</v>
      </c>
      <c r="C72">
        <v>50</v>
      </c>
      <c r="D72" t="s">
        <v>4</v>
      </c>
      <c r="E72" t="s">
        <v>138</v>
      </c>
      <c r="F72">
        <v>23.1472259652361</v>
      </c>
      <c r="G72">
        <v>0.109085018095716</v>
      </c>
    </row>
    <row r="73" spans="1:7" x14ac:dyDescent="0.3">
      <c r="A73" t="s">
        <v>129</v>
      </c>
      <c r="B73" t="s">
        <v>113</v>
      </c>
      <c r="C73">
        <v>50</v>
      </c>
      <c r="D73" t="s">
        <v>4</v>
      </c>
      <c r="E73" t="s">
        <v>139</v>
      </c>
      <c r="F73">
        <v>1.96971146230751</v>
      </c>
      <c r="G73">
        <v>0.10835816425373899</v>
      </c>
    </row>
    <row r="74" spans="1:7" x14ac:dyDescent="0.3">
      <c r="A74" t="s">
        <v>129</v>
      </c>
      <c r="B74" t="s">
        <v>113</v>
      </c>
      <c r="C74">
        <v>50</v>
      </c>
      <c r="D74" t="s">
        <v>2</v>
      </c>
      <c r="E74" t="s">
        <v>133</v>
      </c>
      <c r="F74">
        <v>22.023391196665401</v>
      </c>
      <c r="G74">
        <v>3.4518838980569497E-2</v>
      </c>
    </row>
    <row r="75" spans="1:7" x14ac:dyDescent="0.3">
      <c r="A75" t="s">
        <v>129</v>
      </c>
      <c r="B75" t="s">
        <v>113</v>
      </c>
      <c r="C75">
        <v>50</v>
      </c>
      <c r="D75" t="s">
        <v>2</v>
      </c>
      <c r="E75" t="s">
        <v>134</v>
      </c>
      <c r="F75">
        <v>1.7038111613692699</v>
      </c>
      <c r="G75">
        <v>0.18292400666971401</v>
      </c>
    </row>
    <row r="76" spans="1:7" x14ac:dyDescent="0.3">
      <c r="A76" t="s">
        <v>129</v>
      </c>
      <c r="B76" t="s">
        <v>113</v>
      </c>
      <c r="C76">
        <v>50</v>
      </c>
      <c r="D76" t="s">
        <v>2</v>
      </c>
      <c r="E76" t="s">
        <v>79</v>
      </c>
      <c r="F76">
        <v>20.809407681971798</v>
      </c>
      <c r="G76">
        <v>7.6034568483031306E-2</v>
      </c>
    </row>
    <row r="77" spans="1:7" x14ac:dyDescent="0.3">
      <c r="A77" t="s">
        <v>129</v>
      </c>
      <c r="B77" t="s">
        <v>113</v>
      </c>
      <c r="C77">
        <v>50</v>
      </c>
      <c r="D77" t="s">
        <v>2</v>
      </c>
      <c r="E77" t="s">
        <v>135</v>
      </c>
      <c r="F77">
        <v>7.0787982408549501</v>
      </c>
      <c r="G77">
        <v>2.61561640656841E-2</v>
      </c>
    </row>
    <row r="78" spans="1:7" x14ac:dyDescent="0.3">
      <c r="A78" t="s">
        <v>129</v>
      </c>
      <c r="B78" t="s">
        <v>113</v>
      </c>
      <c r="C78">
        <v>50</v>
      </c>
      <c r="D78" t="s">
        <v>2</v>
      </c>
      <c r="E78" t="s">
        <v>136</v>
      </c>
      <c r="F78">
        <v>5.2871358810263898</v>
      </c>
      <c r="G78">
        <v>0.129245387144479</v>
      </c>
    </row>
    <row r="79" spans="1:7" x14ac:dyDescent="0.3">
      <c r="A79" t="s">
        <v>129</v>
      </c>
      <c r="B79" t="s">
        <v>113</v>
      </c>
      <c r="C79">
        <v>50</v>
      </c>
      <c r="D79" t="s">
        <v>2</v>
      </c>
      <c r="E79" t="s">
        <v>137</v>
      </c>
      <c r="F79">
        <v>1.7038111613692699</v>
      </c>
      <c r="G79">
        <v>0.10044707268366899</v>
      </c>
    </row>
    <row r="80" spans="1:7" x14ac:dyDescent="0.3">
      <c r="A80" t="s">
        <v>129</v>
      </c>
      <c r="B80" t="s">
        <v>113</v>
      </c>
      <c r="C80">
        <v>50</v>
      </c>
      <c r="D80" t="s">
        <v>2</v>
      </c>
      <c r="E80" t="s">
        <v>138</v>
      </c>
      <c r="F80">
        <v>20.022476747991998</v>
      </c>
      <c r="G80">
        <v>9.4359135805563002E-2</v>
      </c>
    </row>
    <row r="81" spans="1:7" x14ac:dyDescent="0.3">
      <c r="A81" t="s">
        <v>129</v>
      </c>
      <c r="B81" t="s">
        <v>113</v>
      </c>
      <c r="C81">
        <v>50</v>
      </c>
      <c r="D81" t="s">
        <v>2</v>
      </c>
      <c r="E81" t="s">
        <v>139</v>
      </c>
      <c r="F81">
        <v>1.7038111613692699</v>
      </c>
      <c r="G81">
        <v>9.3730403266639298E-2</v>
      </c>
    </row>
    <row r="82" spans="1:7" x14ac:dyDescent="0.3">
      <c r="A82" t="s">
        <v>129</v>
      </c>
      <c r="B82" t="s">
        <v>113</v>
      </c>
      <c r="C82">
        <v>50</v>
      </c>
      <c r="D82" t="s">
        <v>46</v>
      </c>
      <c r="E82" t="s">
        <v>133</v>
      </c>
      <c r="F82">
        <v>24.614804275125</v>
      </c>
      <c r="G82">
        <v>3.8580546371074997E-2</v>
      </c>
    </row>
    <row r="83" spans="1:7" x14ac:dyDescent="0.3">
      <c r="A83" t="s">
        <v>129</v>
      </c>
      <c r="B83" t="s">
        <v>113</v>
      </c>
      <c r="C83">
        <v>50</v>
      </c>
      <c r="D83" t="s">
        <v>46</v>
      </c>
      <c r="E83" t="s">
        <v>134</v>
      </c>
      <c r="F83">
        <v>1.9042924808613499</v>
      </c>
      <c r="G83">
        <v>0.20444801534826301</v>
      </c>
    </row>
    <row r="84" spans="1:7" x14ac:dyDescent="0.3">
      <c r="A84" t="s">
        <v>129</v>
      </c>
      <c r="B84" t="s">
        <v>113</v>
      </c>
      <c r="C84">
        <v>50</v>
      </c>
      <c r="D84" t="s">
        <v>46</v>
      </c>
      <c r="E84" t="s">
        <v>79</v>
      </c>
      <c r="F84">
        <v>23.257975694977201</v>
      </c>
      <c r="G84">
        <v>8.4981282157708102E-2</v>
      </c>
    </row>
    <row r="85" spans="1:7" x14ac:dyDescent="0.3">
      <c r="A85" t="s">
        <v>129</v>
      </c>
      <c r="B85" t="s">
        <v>113</v>
      </c>
      <c r="C85">
        <v>50</v>
      </c>
      <c r="D85" t="s">
        <v>46</v>
      </c>
      <c r="E85" t="s">
        <v>135</v>
      </c>
      <c r="F85">
        <v>7.9117349206477501</v>
      </c>
      <c r="G85">
        <v>2.9233865634751E-2</v>
      </c>
    </row>
    <row r="86" spans="1:7" x14ac:dyDescent="0.3">
      <c r="A86" t="s">
        <v>129</v>
      </c>
      <c r="B86" t="s">
        <v>113</v>
      </c>
      <c r="C86">
        <v>50</v>
      </c>
      <c r="D86" t="s">
        <v>46</v>
      </c>
      <c r="E86" t="s">
        <v>136</v>
      </c>
      <c r="F86">
        <v>5.9092541073856202</v>
      </c>
      <c r="G86">
        <v>0.14445322610015701</v>
      </c>
    </row>
    <row r="87" spans="1:7" x14ac:dyDescent="0.3">
      <c r="A87" t="s">
        <v>129</v>
      </c>
      <c r="B87" t="s">
        <v>113</v>
      </c>
      <c r="C87">
        <v>50</v>
      </c>
      <c r="D87" t="s">
        <v>46</v>
      </c>
      <c r="E87" t="s">
        <v>137</v>
      </c>
      <c r="F87">
        <v>1.9042924808613499</v>
      </c>
      <c r="G87">
        <v>0.112266317754557</v>
      </c>
    </row>
    <row r="88" spans="1:7" x14ac:dyDescent="0.3">
      <c r="A88" t="s">
        <v>129</v>
      </c>
      <c r="B88" t="s">
        <v>113</v>
      </c>
      <c r="C88">
        <v>50</v>
      </c>
      <c r="D88" t="s">
        <v>46</v>
      </c>
      <c r="E88" t="s">
        <v>138</v>
      </c>
      <c r="F88">
        <v>22.378449433786098</v>
      </c>
      <c r="G88">
        <v>0.105462035282539</v>
      </c>
    </row>
    <row r="89" spans="1:7" x14ac:dyDescent="0.3">
      <c r="A89" t="s">
        <v>129</v>
      </c>
      <c r="B89" t="s">
        <v>113</v>
      </c>
      <c r="C89">
        <v>50</v>
      </c>
      <c r="D89" t="s">
        <v>46</v>
      </c>
      <c r="E89" t="s">
        <v>139</v>
      </c>
      <c r="F89">
        <v>1.9042924808613499</v>
      </c>
      <c r="G89">
        <v>0.104759322051464</v>
      </c>
    </row>
    <row r="90" spans="1:7" x14ac:dyDescent="0.3">
      <c r="A90" t="s">
        <v>129</v>
      </c>
      <c r="B90" t="s">
        <v>113</v>
      </c>
      <c r="C90">
        <v>50</v>
      </c>
      <c r="D90" t="s">
        <v>3</v>
      </c>
      <c r="E90" t="s">
        <v>133</v>
      </c>
      <c r="F90">
        <v>22.121180259854601</v>
      </c>
      <c r="G90">
        <v>3.4672110785812699E-2</v>
      </c>
    </row>
    <row r="91" spans="1:7" x14ac:dyDescent="0.3">
      <c r="A91" t="s">
        <v>129</v>
      </c>
      <c r="B91" t="s">
        <v>113</v>
      </c>
      <c r="C91">
        <v>50</v>
      </c>
      <c r="D91" t="s">
        <v>3</v>
      </c>
      <c r="E91" t="s">
        <v>134</v>
      </c>
      <c r="F91">
        <v>1.71137648570255</v>
      </c>
      <c r="G91">
        <v>0.18373623250211599</v>
      </c>
    </row>
    <row r="92" spans="1:7" x14ac:dyDescent="0.3">
      <c r="A92" t="s">
        <v>129</v>
      </c>
      <c r="B92" t="s">
        <v>113</v>
      </c>
      <c r="C92">
        <v>50</v>
      </c>
      <c r="D92" t="s">
        <v>3</v>
      </c>
      <c r="E92" t="s">
        <v>79</v>
      </c>
      <c r="F92">
        <v>20.901806371373102</v>
      </c>
      <c r="G92">
        <v>7.6372179941482904E-2</v>
      </c>
    </row>
    <row r="93" spans="1:7" x14ac:dyDescent="0.3">
      <c r="A93" t="s">
        <v>129</v>
      </c>
      <c r="B93" t="s">
        <v>113</v>
      </c>
      <c r="C93">
        <v>50</v>
      </c>
      <c r="D93" t="s">
        <v>3</v>
      </c>
      <c r="E93" t="s">
        <v>135</v>
      </c>
      <c r="F93">
        <v>7.1102297784550101</v>
      </c>
      <c r="G93">
        <v>2.62723036173893E-2</v>
      </c>
    </row>
    <row r="94" spans="1:7" x14ac:dyDescent="0.3">
      <c r="A94" t="s">
        <v>129</v>
      </c>
      <c r="B94" t="s">
        <v>113</v>
      </c>
      <c r="C94">
        <v>50</v>
      </c>
      <c r="D94" t="s">
        <v>3</v>
      </c>
      <c r="E94" t="s">
        <v>136</v>
      </c>
      <c r="F94">
        <v>5.3106120142042004</v>
      </c>
      <c r="G94">
        <v>0.12981926721669601</v>
      </c>
    </row>
    <row r="95" spans="1:7" x14ac:dyDescent="0.3">
      <c r="A95" t="s">
        <v>129</v>
      </c>
      <c r="B95" t="s">
        <v>113</v>
      </c>
      <c r="C95">
        <v>50</v>
      </c>
      <c r="D95" t="s">
        <v>3</v>
      </c>
      <c r="E95" t="s">
        <v>137</v>
      </c>
      <c r="F95">
        <v>1.71137648570255</v>
      </c>
      <c r="G95">
        <v>0.100893081431827</v>
      </c>
    </row>
    <row r="96" spans="1:7" x14ac:dyDescent="0.3">
      <c r="A96" t="s">
        <v>129</v>
      </c>
      <c r="B96" t="s">
        <v>113</v>
      </c>
      <c r="C96">
        <v>50</v>
      </c>
      <c r="D96" t="s">
        <v>3</v>
      </c>
      <c r="E96" t="s">
        <v>138</v>
      </c>
      <c r="F96">
        <v>20.111381278017902</v>
      </c>
      <c r="G96">
        <v>9.4778112674809706E-2</v>
      </c>
    </row>
    <row r="97" spans="1:7" x14ac:dyDescent="0.3">
      <c r="A97" t="s">
        <v>129</v>
      </c>
      <c r="B97" t="s">
        <v>113</v>
      </c>
      <c r="C97">
        <v>50</v>
      </c>
      <c r="D97" t="s">
        <v>3</v>
      </c>
      <c r="E97" t="s">
        <v>139</v>
      </c>
      <c r="F97">
        <v>1.71137648570255</v>
      </c>
      <c r="G97">
        <v>9.4146588414781601E-2</v>
      </c>
    </row>
    <row r="98" spans="1:7" x14ac:dyDescent="0.3">
      <c r="A98" t="s">
        <v>129</v>
      </c>
      <c r="B98" t="s">
        <v>113</v>
      </c>
      <c r="C98">
        <v>60</v>
      </c>
      <c r="D98" t="s">
        <v>4</v>
      </c>
      <c r="E98" t="s">
        <v>133</v>
      </c>
      <c r="F98">
        <v>25.4604072696015</v>
      </c>
      <c r="G98">
        <v>3.9905920531083702E-2</v>
      </c>
    </row>
    <row r="99" spans="1:7" x14ac:dyDescent="0.3">
      <c r="A99" t="s">
        <v>129</v>
      </c>
      <c r="B99" t="s">
        <v>113</v>
      </c>
      <c r="C99">
        <v>60</v>
      </c>
      <c r="D99" t="s">
        <v>4</v>
      </c>
      <c r="E99" t="s">
        <v>134</v>
      </c>
      <c r="F99">
        <v>1.96971146230751</v>
      </c>
      <c r="G99">
        <v>0.21147150625482999</v>
      </c>
    </row>
    <row r="100" spans="1:7" x14ac:dyDescent="0.3">
      <c r="A100" t="s">
        <v>129</v>
      </c>
      <c r="B100" t="s">
        <v>113</v>
      </c>
      <c r="C100">
        <v>60</v>
      </c>
      <c r="D100" t="s">
        <v>4</v>
      </c>
      <c r="E100" t="s">
        <v>79</v>
      </c>
      <c r="F100">
        <v>24.056966971662298</v>
      </c>
      <c r="G100">
        <v>7.3250567349784704E-2</v>
      </c>
    </row>
    <row r="101" spans="1:7" x14ac:dyDescent="0.3">
      <c r="A101" t="s">
        <v>129</v>
      </c>
      <c r="B101" t="s">
        <v>113</v>
      </c>
      <c r="C101">
        <v>60</v>
      </c>
      <c r="D101" t="s">
        <v>4</v>
      </c>
      <c r="E101" t="s">
        <v>135</v>
      </c>
      <c r="F101">
        <v>8.1835301649091701</v>
      </c>
      <c r="G101">
        <v>3.0238149237601E-2</v>
      </c>
    </row>
    <row r="102" spans="1:7" x14ac:dyDescent="0.3">
      <c r="A102" t="s">
        <v>129</v>
      </c>
      <c r="B102" t="s">
        <v>113</v>
      </c>
      <c r="C102">
        <v>60</v>
      </c>
      <c r="D102" t="s">
        <v>4</v>
      </c>
      <c r="E102" t="s">
        <v>136</v>
      </c>
      <c r="F102">
        <v>6.1122572640419603</v>
      </c>
      <c r="G102">
        <v>0.149415690119241</v>
      </c>
    </row>
    <row r="103" spans="1:7" x14ac:dyDescent="0.3">
      <c r="A103" t="s">
        <v>129</v>
      </c>
      <c r="B103" t="s">
        <v>113</v>
      </c>
      <c r="C103">
        <v>60</v>
      </c>
      <c r="D103" t="s">
        <v>4</v>
      </c>
      <c r="E103" t="s">
        <v>137</v>
      </c>
      <c r="F103">
        <v>1.96971146230751</v>
      </c>
      <c r="G103">
        <v>0.116123051020076</v>
      </c>
    </row>
    <row r="104" spans="1:7" x14ac:dyDescent="0.3">
      <c r="A104" t="s">
        <v>129</v>
      </c>
      <c r="B104" t="s">
        <v>113</v>
      </c>
      <c r="C104">
        <v>60</v>
      </c>
      <c r="D104" t="s">
        <v>4</v>
      </c>
      <c r="E104" t="s">
        <v>138</v>
      </c>
      <c r="F104">
        <v>23.1472259652361</v>
      </c>
      <c r="G104">
        <v>0.109085018095716</v>
      </c>
    </row>
    <row r="105" spans="1:7" x14ac:dyDescent="0.3">
      <c r="A105" t="s">
        <v>129</v>
      </c>
      <c r="B105" t="s">
        <v>113</v>
      </c>
      <c r="C105">
        <v>60</v>
      </c>
      <c r="D105" t="s">
        <v>4</v>
      </c>
      <c r="E105" t="s">
        <v>139</v>
      </c>
      <c r="F105">
        <v>1.96971146230751</v>
      </c>
      <c r="G105">
        <v>0.10835816425373899</v>
      </c>
    </row>
    <row r="106" spans="1:7" x14ac:dyDescent="0.3">
      <c r="A106" t="s">
        <v>129</v>
      </c>
      <c r="B106" t="s">
        <v>113</v>
      </c>
      <c r="C106">
        <v>60</v>
      </c>
      <c r="D106" t="s">
        <v>2</v>
      </c>
      <c r="E106" t="s">
        <v>133</v>
      </c>
      <c r="F106">
        <v>22.023391196665401</v>
      </c>
      <c r="G106">
        <v>3.4518838980569497E-2</v>
      </c>
    </row>
    <row r="107" spans="1:7" x14ac:dyDescent="0.3">
      <c r="A107" t="s">
        <v>129</v>
      </c>
      <c r="B107" t="s">
        <v>113</v>
      </c>
      <c r="C107">
        <v>60</v>
      </c>
      <c r="D107" t="s">
        <v>2</v>
      </c>
      <c r="E107" t="s">
        <v>134</v>
      </c>
      <c r="F107">
        <v>1.7038111613692699</v>
      </c>
      <c r="G107">
        <v>0.18292400666971401</v>
      </c>
    </row>
    <row r="108" spans="1:7" x14ac:dyDescent="0.3">
      <c r="A108" t="s">
        <v>129</v>
      </c>
      <c r="B108" t="s">
        <v>113</v>
      </c>
      <c r="C108">
        <v>60</v>
      </c>
      <c r="D108" t="s">
        <v>2</v>
      </c>
      <c r="E108" t="s">
        <v>79</v>
      </c>
      <c r="F108">
        <v>20.809407681971798</v>
      </c>
      <c r="G108">
        <v>6.3362140402526093E-2</v>
      </c>
    </row>
    <row r="109" spans="1:7" x14ac:dyDescent="0.3">
      <c r="A109" t="s">
        <v>129</v>
      </c>
      <c r="B109" t="s">
        <v>113</v>
      </c>
      <c r="C109">
        <v>60</v>
      </c>
      <c r="D109" t="s">
        <v>2</v>
      </c>
      <c r="E109" t="s">
        <v>135</v>
      </c>
      <c r="F109">
        <v>7.0787982408549501</v>
      </c>
      <c r="G109">
        <v>2.61561640656841E-2</v>
      </c>
    </row>
    <row r="110" spans="1:7" x14ac:dyDescent="0.3">
      <c r="A110" t="s">
        <v>129</v>
      </c>
      <c r="B110" t="s">
        <v>113</v>
      </c>
      <c r="C110">
        <v>60</v>
      </c>
      <c r="D110" t="s">
        <v>2</v>
      </c>
      <c r="E110" t="s">
        <v>136</v>
      </c>
      <c r="F110">
        <v>5.2871358810263898</v>
      </c>
      <c r="G110">
        <v>0.129245387144479</v>
      </c>
    </row>
    <row r="111" spans="1:7" x14ac:dyDescent="0.3">
      <c r="A111" t="s">
        <v>129</v>
      </c>
      <c r="B111" t="s">
        <v>113</v>
      </c>
      <c r="C111">
        <v>60</v>
      </c>
      <c r="D111" t="s">
        <v>2</v>
      </c>
      <c r="E111" t="s">
        <v>137</v>
      </c>
      <c r="F111">
        <v>1.7038111613692699</v>
      </c>
      <c r="G111">
        <v>0.10044707268366899</v>
      </c>
    </row>
    <row r="112" spans="1:7" x14ac:dyDescent="0.3">
      <c r="A112" t="s">
        <v>129</v>
      </c>
      <c r="B112" t="s">
        <v>113</v>
      </c>
      <c r="C112">
        <v>60</v>
      </c>
      <c r="D112" t="s">
        <v>2</v>
      </c>
      <c r="E112" t="s">
        <v>138</v>
      </c>
      <c r="F112">
        <v>20.022476747991998</v>
      </c>
      <c r="G112">
        <v>9.4359135805563002E-2</v>
      </c>
    </row>
    <row r="113" spans="1:7" x14ac:dyDescent="0.3">
      <c r="A113" t="s">
        <v>129</v>
      </c>
      <c r="B113" t="s">
        <v>113</v>
      </c>
      <c r="C113">
        <v>60</v>
      </c>
      <c r="D113" t="s">
        <v>2</v>
      </c>
      <c r="E113" t="s">
        <v>139</v>
      </c>
      <c r="F113">
        <v>1.7038111613692699</v>
      </c>
      <c r="G113">
        <v>9.3730403266639298E-2</v>
      </c>
    </row>
    <row r="114" spans="1:7" x14ac:dyDescent="0.3">
      <c r="A114" t="s">
        <v>129</v>
      </c>
      <c r="B114" t="s">
        <v>113</v>
      </c>
      <c r="C114">
        <v>60</v>
      </c>
      <c r="D114" t="s">
        <v>46</v>
      </c>
      <c r="E114" t="s">
        <v>133</v>
      </c>
      <c r="F114">
        <v>24.614804275125</v>
      </c>
      <c r="G114">
        <v>3.8580546371074997E-2</v>
      </c>
    </row>
    <row r="115" spans="1:7" x14ac:dyDescent="0.3">
      <c r="A115" t="s">
        <v>129</v>
      </c>
      <c r="B115" t="s">
        <v>113</v>
      </c>
      <c r="C115">
        <v>60</v>
      </c>
      <c r="D115" t="s">
        <v>46</v>
      </c>
      <c r="E115" t="s">
        <v>134</v>
      </c>
      <c r="F115">
        <v>1.9042924808613499</v>
      </c>
      <c r="G115">
        <v>0.20444801534826301</v>
      </c>
    </row>
    <row r="116" spans="1:7" x14ac:dyDescent="0.3">
      <c r="A116" t="s">
        <v>129</v>
      </c>
      <c r="B116" t="s">
        <v>113</v>
      </c>
      <c r="C116">
        <v>60</v>
      </c>
      <c r="D116" t="s">
        <v>46</v>
      </c>
      <c r="E116" t="s">
        <v>79</v>
      </c>
      <c r="F116">
        <v>23.257975694977201</v>
      </c>
      <c r="G116">
        <v>7.0817735131423504E-2</v>
      </c>
    </row>
    <row r="117" spans="1:7" x14ac:dyDescent="0.3">
      <c r="A117" t="s">
        <v>129</v>
      </c>
      <c r="B117" t="s">
        <v>113</v>
      </c>
      <c r="C117">
        <v>60</v>
      </c>
      <c r="D117" t="s">
        <v>46</v>
      </c>
      <c r="E117" t="s">
        <v>135</v>
      </c>
      <c r="F117">
        <v>7.9117349206477501</v>
      </c>
      <c r="G117">
        <v>2.9233865634751E-2</v>
      </c>
    </row>
    <row r="118" spans="1:7" x14ac:dyDescent="0.3">
      <c r="A118" t="s">
        <v>129</v>
      </c>
      <c r="B118" t="s">
        <v>113</v>
      </c>
      <c r="C118">
        <v>60</v>
      </c>
      <c r="D118" t="s">
        <v>46</v>
      </c>
      <c r="E118" t="s">
        <v>136</v>
      </c>
      <c r="F118">
        <v>5.9092541073856202</v>
      </c>
      <c r="G118">
        <v>0.14445322610015701</v>
      </c>
    </row>
    <row r="119" spans="1:7" x14ac:dyDescent="0.3">
      <c r="A119" t="s">
        <v>129</v>
      </c>
      <c r="B119" t="s">
        <v>113</v>
      </c>
      <c r="C119">
        <v>60</v>
      </c>
      <c r="D119" t="s">
        <v>46</v>
      </c>
      <c r="E119" t="s">
        <v>137</v>
      </c>
      <c r="F119">
        <v>1.9042924808613499</v>
      </c>
      <c r="G119">
        <v>0.112266317754557</v>
      </c>
    </row>
    <row r="120" spans="1:7" x14ac:dyDescent="0.3">
      <c r="A120" t="s">
        <v>129</v>
      </c>
      <c r="B120" t="s">
        <v>113</v>
      </c>
      <c r="C120">
        <v>60</v>
      </c>
      <c r="D120" t="s">
        <v>46</v>
      </c>
      <c r="E120" t="s">
        <v>138</v>
      </c>
      <c r="F120">
        <v>22.378449433786098</v>
      </c>
      <c r="G120">
        <v>0.105462035282539</v>
      </c>
    </row>
    <row r="121" spans="1:7" x14ac:dyDescent="0.3">
      <c r="A121" t="s">
        <v>129</v>
      </c>
      <c r="B121" t="s">
        <v>113</v>
      </c>
      <c r="C121">
        <v>60</v>
      </c>
      <c r="D121" t="s">
        <v>46</v>
      </c>
      <c r="E121" t="s">
        <v>139</v>
      </c>
      <c r="F121">
        <v>1.9042924808613499</v>
      </c>
      <c r="G121">
        <v>0.104759322051464</v>
      </c>
    </row>
    <row r="122" spans="1:7" x14ac:dyDescent="0.3">
      <c r="A122" t="s">
        <v>129</v>
      </c>
      <c r="B122" t="s">
        <v>113</v>
      </c>
      <c r="C122">
        <v>60</v>
      </c>
      <c r="D122" t="s">
        <v>3</v>
      </c>
      <c r="E122" t="s">
        <v>133</v>
      </c>
      <c r="F122">
        <v>22.121180259854601</v>
      </c>
      <c r="G122">
        <v>3.4672110785812699E-2</v>
      </c>
    </row>
    <row r="123" spans="1:7" x14ac:dyDescent="0.3">
      <c r="A123" t="s">
        <v>129</v>
      </c>
      <c r="B123" t="s">
        <v>113</v>
      </c>
      <c r="C123">
        <v>60</v>
      </c>
      <c r="D123" t="s">
        <v>3</v>
      </c>
      <c r="E123" t="s">
        <v>134</v>
      </c>
      <c r="F123">
        <v>1.71137648570255</v>
      </c>
      <c r="G123">
        <v>0.18373623250211599</v>
      </c>
    </row>
    <row r="124" spans="1:7" x14ac:dyDescent="0.3">
      <c r="A124" t="s">
        <v>129</v>
      </c>
      <c r="B124" t="s">
        <v>113</v>
      </c>
      <c r="C124">
        <v>60</v>
      </c>
      <c r="D124" t="s">
        <v>3</v>
      </c>
      <c r="E124" t="s">
        <v>79</v>
      </c>
      <c r="F124">
        <v>20.901806371373102</v>
      </c>
      <c r="G124">
        <v>6.3643483284569105E-2</v>
      </c>
    </row>
    <row r="125" spans="1:7" x14ac:dyDescent="0.3">
      <c r="A125" t="s">
        <v>129</v>
      </c>
      <c r="B125" t="s">
        <v>113</v>
      </c>
      <c r="C125">
        <v>60</v>
      </c>
      <c r="D125" t="s">
        <v>3</v>
      </c>
      <c r="E125" t="s">
        <v>135</v>
      </c>
      <c r="F125">
        <v>7.1102297784550101</v>
      </c>
      <c r="G125">
        <v>2.62723036173893E-2</v>
      </c>
    </row>
    <row r="126" spans="1:7" x14ac:dyDescent="0.3">
      <c r="A126" t="s">
        <v>129</v>
      </c>
      <c r="B126" t="s">
        <v>113</v>
      </c>
      <c r="C126">
        <v>60</v>
      </c>
      <c r="D126" t="s">
        <v>3</v>
      </c>
      <c r="E126" t="s">
        <v>136</v>
      </c>
      <c r="F126">
        <v>5.3106120142042004</v>
      </c>
      <c r="G126">
        <v>0.12981926721669601</v>
      </c>
    </row>
    <row r="127" spans="1:7" x14ac:dyDescent="0.3">
      <c r="A127" t="s">
        <v>129</v>
      </c>
      <c r="B127" t="s">
        <v>113</v>
      </c>
      <c r="C127">
        <v>60</v>
      </c>
      <c r="D127" t="s">
        <v>3</v>
      </c>
      <c r="E127" t="s">
        <v>137</v>
      </c>
      <c r="F127">
        <v>1.71137648570255</v>
      </c>
      <c r="G127">
        <v>0.100893081431827</v>
      </c>
    </row>
    <row r="128" spans="1:7" x14ac:dyDescent="0.3">
      <c r="A128" t="s">
        <v>129</v>
      </c>
      <c r="B128" t="s">
        <v>113</v>
      </c>
      <c r="C128">
        <v>60</v>
      </c>
      <c r="D128" t="s">
        <v>3</v>
      </c>
      <c r="E128" t="s">
        <v>138</v>
      </c>
      <c r="F128">
        <v>20.111381278017902</v>
      </c>
      <c r="G128">
        <v>9.4778112674809706E-2</v>
      </c>
    </row>
    <row r="129" spans="1:7" x14ac:dyDescent="0.3">
      <c r="A129" t="s">
        <v>129</v>
      </c>
      <c r="B129" t="s">
        <v>113</v>
      </c>
      <c r="C129">
        <v>60</v>
      </c>
      <c r="D129" t="s">
        <v>3</v>
      </c>
      <c r="E129" t="s">
        <v>139</v>
      </c>
      <c r="F129">
        <v>1.71137648570255</v>
      </c>
      <c r="G129">
        <v>9.4146588414781601E-2</v>
      </c>
    </row>
    <row r="130" spans="1:7" x14ac:dyDescent="0.3">
      <c r="A130" t="s">
        <v>129</v>
      </c>
      <c r="B130" t="s">
        <v>109</v>
      </c>
      <c r="C130">
        <v>30</v>
      </c>
      <c r="D130" t="s">
        <v>4</v>
      </c>
      <c r="E130" t="s">
        <v>133</v>
      </c>
      <c r="F130">
        <v>11.4622343553904</v>
      </c>
      <c r="G130">
        <v>1.7965581164956199E-2</v>
      </c>
    </row>
    <row r="131" spans="1:7" x14ac:dyDescent="0.3">
      <c r="A131" t="s">
        <v>129</v>
      </c>
      <c r="B131" t="s">
        <v>109</v>
      </c>
      <c r="C131">
        <v>30</v>
      </c>
      <c r="D131" t="s">
        <v>4</v>
      </c>
      <c r="E131" t="s">
        <v>140</v>
      </c>
      <c r="F131">
        <v>14.190586677998001</v>
      </c>
      <c r="G131">
        <v>1.4140738851228799E-2</v>
      </c>
    </row>
    <row r="132" spans="1:7" x14ac:dyDescent="0.3">
      <c r="A132" t="s">
        <v>129</v>
      </c>
      <c r="B132" t="s">
        <v>109</v>
      </c>
      <c r="C132">
        <v>30</v>
      </c>
      <c r="D132" t="s">
        <v>4</v>
      </c>
      <c r="E132" t="s">
        <v>141</v>
      </c>
      <c r="F132">
        <v>9.4828303181079008</v>
      </c>
      <c r="G132">
        <v>3.1464494852531902E-2</v>
      </c>
    </row>
    <row r="133" spans="1:7" x14ac:dyDescent="0.3">
      <c r="A133" t="s">
        <v>129</v>
      </c>
      <c r="B133" t="s">
        <v>109</v>
      </c>
      <c r="C133">
        <v>30</v>
      </c>
      <c r="D133" t="s">
        <v>4</v>
      </c>
      <c r="E133" t="s">
        <v>134</v>
      </c>
      <c r="F133">
        <v>1.2743229449189499</v>
      </c>
      <c r="G133">
        <v>0.13681343576150101</v>
      </c>
    </row>
    <row r="134" spans="1:7" x14ac:dyDescent="0.3">
      <c r="A134" t="s">
        <v>129</v>
      </c>
      <c r="B134" t="s">
        <v>109</v>
      </c>
      <c r="C134">
        <v>30</v>
      </c>
      <c r="D134" t="s">
        <v>4</v>
      </c>
      <c r="E134" t="s">
        <v>79</v>
      </c>
      <c r="F134">
        <v>11.4435427500107</v>
      </c>
      <c r="G134">
        <v>6.9688419152522899E-2</v>
      </c>
    </row>
    <row r="135" spans="1:7" x14ac:dyDescent="0.3">
      <c r="A135" t="s">
        <v>129</v>
      </c>
      <c r="B135" t="s">
        <v>109</v>
      </c>
      <c r="C135">
        <v>30</v>
      </c>
      <c r="D135" t="s">
        <v>4</v>
      </c>
      <c r="E135" t="s">
        <v>135</v>
      </c>
      <c r="F135">
        <v>3.0626837354554799</v>
      </c>
      <c r="G135">
        <v>1.13166183778958E-2</v>
      </c>
    </row>
    <row r="136" spans="1:7" x14ac:dyDescent="0.3">
      <c r="A136" t="s">
        <v>129</v>
      </c>
      <c r="B136" t="s">
        <v>109</v>
      </c>
      <c r="C136">
        <v>30</v>
      </c>
      <c r="D136" t="s">
        <v>4</v>
      </c>
      <c r="E136" t="s">
        <v>136</v>
      </c>
      <c r="F136">
        <v>2.46656347194331</v>
      </c>
      <c r="G136">
        <v>6.0295774124469098E-2</v>
      </c>
    </row>
    <row r="137" spans="1:7" x14ac:dyDescent="0.3">
      <c r="A137" t="s">
        <v>129</v>
      </c>
      <c r="B137" t="s">
        <v>109</v>
      </c>
      <c r="C137">
        <v>30</v>
      </c>
      <c r="D137" t="s">
        <v>4</v>
      </c>
      <c r="E137" t="s">
        <v>137</v>
      </c>
      <c r="F137">
        <v>1.2743229449189499</v>
      </c>
      <c r="G137">
        <v>7.5126875778810998E-2</v>
      </c>
    </row>
    <row r="138" spans="1:7" x14ac:dyDescent="0.3">
      <c r="A138" t="s">
        <v>129</v>
      </c>
      <c r="B138" t="s">
        <v>109</v>
      </c>
      <c r="C138">
        <v>30</v>
      </c>
      <c r="D138" t="s">
        <v>4</v>
      </c>
      <c r="E138" t="s">
        <v>142</v>
      </c>
      <c r="F138">
        <v>8.95360798700262</v>
      </c>
      <c r="G138">
        <v>9.66078367774564E-3</v>
      </c>
    </row>
    <row r="139" spans="1:7" x14ac:dyDescent="0.3">
      <c r="A139" t="s">
        <v>129</v>
      </c>
      <c r="B139" t="s">
        <v>109</v>
      </c>
      <c r="C139">
        <v>30</v>
      </c>
      <c r="D139" t="s">
        <v>4</v>
      </c>
      <c r="E139" t="s">
        <v>138</v>
      </c>
      <c r="F139">
        <v>14.8244666329203</v>
      </c>
      <c r="G139">
        <v>6.9862678721854102E-2</v>
      </c>
    </row>
    <row r="140" spans="1:7" x14ac:dyDescent="0.3">
      <c r="A140" t="s">
        <v>129</v>
      </c>
      <c r="B140" t="s">
        <v>109</v>
      </c>
      <c r="C140">
        <v>30</v>
      </c>
      <c r="D140" t="s">
        <v>4</v>
      </c>
      <c r="E140" t="s">
        <v>139</v>
      </c>
      <c r="F140">
        <v>1.2743229449189499</v>
      </c>
      <c r="G140">
        <v>7.0103310875833394E-2</v>
      </c>
    </row>
    <row r="141" spans="1:7" x14ac:dyDescent="0.3">
      <c r="A141" t="s">
        <v>129</v>
      </c>
      <c r="B141" t="s">
        <v>109</v>
      </c>
      <c r="C141">
        <v>30</v>
      </c>
      <c r="D141" t="s">
        <v>2</v>
      </c>
      <c r="E141" t="s">
        <v>133</v>
      </c>
      <c r="F141">
        <v>9.9148952537777504</v>
      </c>
      <c r="G141">
        <v>1.5540325725412699E-2</v>
      </c>
    </row>
    <row r="142" spans="1:7" x14ac:dyDescent="0.3">
      <c r="A142" t="s">
        <v>129</v>
      </c>
      <c r="B142" t="s">
        <v>109</v>
      </c>
      <c r="C142">
        <v>30</v>
      </c>
      <c r="D142" t="s">
        <v>2</v>
      </c>
      <c r="E142" t="s">
        <v>140</v>
      </c>
      <c r="F142">
        <v>12.274934898346199</v>
      </c>
      <c r="G142">
        <v>1.22318162562279E-2</v>
      </c>
    </row>
    <row r="143" spans="1:7" x14ac:dyDescent="0.3">
      <c r="A143" t="s">
        <v>129</v>
      </c>
      <c r="B143" t="s">
        <v>109</v>
      </c>
      <c r="C143">
        <v>30</v>
      </c>
      <c r="D143" t="s">
        <v>2</v>
      </c>
      <c r="E143" t="s">
        <v>141</v>
      </c>
      <c r="F143">
        <v>8.2026999621737406</v>
      </c>
      <c r="G143">
        <v>2.7216959713371399E-2</v>
      </c>
    </row>
    <row r="144" spans="1:7" x14ac:dyDescent="0.3">
      <c r="A144" t="s">
        <v>129</v>
      </c>
      <c r="B144" t="s">
        <v>109</v>
      </c>
      <c r="C144">
        <v>30</v>
      </c>
      <c r="D144" t="s">
        <v>2</v>
      </c>
      <c r="E144" t="s">
        <v>134</v>
      </c>
      <c r="F144">
        <v>1.1022962998846</v>
      </c>
      <c r="G144">
        <v>0.118344368368878</v>
      </c>
    </row>
    <row r="145" spans="1:7" x14ac:dyDescent="0.3">
      <c r="A145" t="s">
        <v>129</v>
      </c>
      <c r="B145" t="s">
        <v>109</v>
      </c>
      <c r="C145">
        <v>30</v>
      </c>
      <c r="D145" t="s">
        <v>2</v>
      </c>
      <c r="E145" t="s">
        <v>79</v>
      </c>
      <c r="F145">
        <v>9.8987269131454898</v>
      </c>
      <c r="G145">
        <v>6.0280862777306897E-2</v>
      </c>
    </row>
    <row r="146" spans="1:7" x14ac:dyDescent="0.3">
      <c r="A146" t="s">
        <v>129</v>
      </c>
      <c r="B146" t="s">
        <v>109</v>
      </c>
      <c r="C146">
        <v>30</v>
      </c>
      <c r="D146" t="s">
        <v>2</v>
      </c>
      <c r="E146" t="s">
        <v>135</v>
      </c>
      <c r="F146">
        <v>2.6492381407477801</v>
      </c>
      <c r="G146">
        <v>9.7889366387842892E-3</v>
      </c>
    </row>
    <row r="147" spans="1:7" x14ac:dyDescent="0.3">
      <c r="A147" t="s">
        <v>129</v>
      </c>
      <c r="B147" t="s">
        <v>109</v>
      </c>
      <c r="C147">
        <v>30</v>
      </c>
      <c r="D147" t="s">
        <v>2</v>
      </c>
      <c r="E147" t="s">
        <v>136</v>
      </c>
      <c r="F147">
        <v>2.1335908604600502</v>
      </c>
      <c r="G147">
        <v>5.2156173583068503E-2</v>
      </c>
    </row>
    <row r="148" spans="1:7" x14ac:dyDescent="0.3">
      <c r="A148" t="s">
        <v>129</v>
      </c>
      <c r="B148" t="s">
        <v>109</v>
      </c>
      <c r="C148">
        <v>30</v>
      </c>
      <c r="D148" t="s">
        <v>2</v>
      </c>
      <c r="E148" t="s">
        <v>137</v>
      </c>
      <c r="F148">
        <v>1.1022962998846</v>
      </c>
      <c r="G148">
        <v>6.4985157430513099E-2</v>
      </c>
    </row>
    <row r="149" spans="1:7" x14ac:dyDescent="0.3">
      <c r="A149" t="s">
        <v>129</v>
      </c>
      <c r="B149" t="s">
        <v>109</v>
      </c>
      <c r="C149">
        <v>30</v>
      </c>
      <c r="D149" t="s">
        <v>2</v>
      </c>
      <c r="E149" t="s">
        <v>142</v>
      </c>
      <c r="F149">
        <v>7.7449197584038503</v>
      </c>
      <c r="G149">
        <v>8.3566305891493095E-3</v>
      </c>
    </row>
    <row r="150" spans="1:7" x14ac:dyDescent="0.3">
      <c r="A150" t="s">
        <v>129</v>
      </c>
      <c r="B150" t="s">
        <v>109</v>
      </c>
      <c r="C150">
        <v>30</v>
      </c>
      <c r="D150" t="s">
        <v>2</v>
      </c>
      <c r="E150" t="s">
        <v>138</v>
      </c>
      <c r="F150">
        <v>12.823244517715301</v>
      </c>
      <c r="G150">
        <v>6.0431598255514501E-2</v>
      </c>
    </row>
    <row r="151" spans="1:7" x14ac:dyDescent="0.3">
      <c r="A151" t="s">
        <v>129</v>
      </c>
      <c r="B151" t="s">
        <v>109</v>
      </c>
      <c r="C151">
        <v>30</v>
      </c>
      <c r="D151" t="s">
        <v>2</v>
      </c>
      <c r="E151" t="s">
        <v>139</v>
      </c>
      <c r="F151">
        <v>1.1022962998846</v>
      </c>
      <c r="G151">
        <v>6.0639746381562401E-2</v>
      </c>
    </row>
    <row r="152" spans="1:7" x14ac:dyDescent="0.3">
      <c r="A152" t="s">
        <v>129</v>
      </c>
      <c r="B152" t="s">
        <v>109</v>
      </c>
      <c r="C152">
        <v>30</v>
      </c>
      <c r="D152" t="s">
        <v>46</v>
      </c>
      <c r="E152" t="s">
        <v>133</v>
      </c>
      <c r="F152">
        <v>11.081545248901399</v>
      </c>
      <c r="G152">
        <v>1.7368899852291699E-2</v>
      </c>
    </row>
    <row r="153" spans="1:7" x14ac:dyDescent="0.3">
      <c r="A153" t="s">
        <v>129</v>
      </c>
      <c r="B153" t="s">
        <v>109</v>
      </c>
      <c r="C153">
        <v>30</v>
      </c>
      <c r="D153" t="s">
        <v>46</v>
      </c>
      <c r="E153" t="s">
        <v>140</v>
      </c>
      <c r="F153">
        <v>13.719282253790301</v>
      </c>
      <c r="G153">
        <v>1.3671089996436601E-2</v>
      </c>
    </row>
    <row r="154" spans="1:7" x14ac:dyDescent="0.3">
      <c r="A154" t="s">
        <v>129</v>
      </c>
      <c r="B154" t="s">
        <v>109</v>
      </c>
      <c r="C154">
        <v>30</v>
      </c>
      <c r="D154" t="s">
        <v>46</v>
      </c>
      <c r="E154" t="s">
        <v>141</v>
      </c>
      <c r="F154">
        <v>9.1678821074137495</v>
      </c>
      <c r="G154">
        <v>3.0419481283610699E-2</v>
      </c>
    </row>
    <row r="155" spans="1:7" x14ac:dyDescent="0.3">
      <c r="A155" t="s">
        <v>129</v>
      </c>
      <c r="B155" t="s">
        <v>109</v>
      </c>
      <c r="C155">
        <v>30</v>
      </c>
      <c r="D155" t="s">
        <v>46</v>
      </c>
      <c r="E155" t="s">
        <v>134</v>
      </c>
      <c r="F155">
        <v>1.2319995332490901</v>
      </c>
      <c r="G155">
        <v>0.13226952372822101</v>
      </c>
    </row>
    <row r="156" spans="1:7" x14ac:dyDescent="0.3">
      <c r="A156" t="s">
        <v>129</v>
      </c>
      <c r="B156" t="s">
        <v>109</v>
      </c>
      <c r="C156">
        <v>30</v>
      </c>
      <c r="D156" t="s">
        <v>46</v>
      </c>
      <c r="E156" t="s">
        <v>79</v>
      </c>
      <c r="F156">
        <v>11.063474437891299</v>
      </c>
      <c r="G156">
        <v>6.7373894671758999E-2</v>
      </c>
    </row>
    <row r="157" spans="1:7" x14ac:dyDescent="0.3">
      <c r="A157" t="s">
        <v>129</v>
      </c>
      <c r="B157" t="s">
        <v>109</v>
      </c>
      <c r="C157">
        <v>30</v>
      </c>
      <c r="D157" t="s">
        <v>46</v>
      </c>
      <c r="E157" t="s">
        <v>135</v>
      </c>
      <c r="F157">
        <v>2.96096444595582</v>
      </c>
      <c r="G157">
        <v>1.09407655375871E-2</v>
      </c>
    </row>
    <row r="158" spans="1:7" x14ac:dyDescent="0.3">
      <c r="A158" t="s">
        <v>129</v>
      </c>
      <c r="B158" t="s">
        <v>109</v>
      </c>
      <c r="C158">
        <v>30</v>
      </c>
      <c r="D158" t="s">
        <v>46</v>
      </c>
      <c r="E158" t="s">
        <v>136</v>
      </c>
      <c r="F158">
        <v>2.38464280838692</v>
      </c>
      <c r="G158">
        <v>5.8293202578223402E-2</v>
      </c>
    </row>
    <row r="159" spans="1:7" x14ac:dyDescent="0.3">
      <c r="A159" t="s">
        <v>129</v>
      </c>
      <c r="B159" t="s">
        <v>109</v>
      </c>
      <c r="C159">
        <v>30</v>
      </c>
      <c r="D159" t="s">
        <v>46</v>
      </c>
      <c r="E159" t="s">
        <v>137</v>
      </c>
      <c r="F159">
        <v>1.2319995332490901</v>
      </c>
      <c r="G159">
        <v>7.2631726724377801E-2</v>
      </c>
    </row>
    <row r="160" spans="1:7" x14ac:dyDescent="0.3">
      <c r="A160" t="s">
        <v>129</v>
      </c>
      <c r="B160" t="s">
        <v>109</v>
      </c>
      <c r="C160">
        <v>30</v>
      </c>
      <c r="D160" t="s">
        <v>46</v>
      </c>
      <c r="E160" t="s">
        <v>142</v>
      </c>
      <c r="F160">
        <v>8.65623655672632</v>
      </c>
      <c r="G160">
        <v>9.3399251965600102E-3</v>
      </c>
    </row>
    <row r="161" spans="1:7" x14ac:dyDescent="0.3">
      <c r="A161" t="s">
        <v>129</v>
      </c>
      <c r="B161" t="s">
        <v>109</v>
      </c>
      <c r="C161">
        <v>30</v>
      </c>
      <c r="D161" t="s">
        <v>46</v>
      </c>
      <c r="E161" t="s">
        <v>138</v>
      </c>
      <c r="F161">
        <v>14.332109490178</v>
      </c>
      <c r="G161">
        <v>6.75423666504959E-2</v>
      </c>
    </row>
    <row r="162" spans="1:7" x14ac:dyDescent="0.3">
      <c r="A162" t="s">
        <v>129</v>
      </c>
      <c r="B162" t="s">
        <v>109</v>
      </c>
      <c r="C162">
        <v>30</v>
      </c>
      <c r="D162" t="s">
        <v>46</v>
      </c>
      <c r="E162" t="s">
        <v>139</v>
      </c>
      <c r="F162">
        <v>1.2319995332490901</v>
      </c>
      <c r="G162">
        <v>6.7775006816451794E-2</v>
      </c>
    </row>
    <row r="163" spans="1:7" x14ac:dyDescent="0.3">
      <c r="A163" t="s">
        <v>129</v>
      </c>
      <c r="B163" t="s">
        <v>109</v>
      </c>
      <c r="C163">
        <v>30</v>
      </c>
      <c r="D163" t="s">
        <v>3</v>
      </c>
      <c r="E163" t="s">
        <v>133</v>
      </c>
      <c r="F163">
        <v>9.9589197325615899</v>
      </c>
      <c r="G163">
        <v>1.56093284453287E-2</v>
      </c>
    </row>
    <row r="164" spans="1:7" x14ac:dyDescent="0.3">
      <c r="A164" t="s">
        <v>129</v>
      </c>
      <c r="B164" t="s">
        <v>109</v>
      </c>
      <c r="C164">
        <v>30</v>
      </c>
      <c r="D164" t="s">
        <v>3</v>
      </c>
      <c r="E164" t="s">
        <v>140</v>
      </c>
      <c r="F164">
        <v>12.3294385110595</v>
      </c>
      <c r="G164">
        <v>1.22861284119771E-2</v>
      </c>
    </row>
    <row r="165" spans="1:7" x14ac:dyDescent="0.3">
      <c r="A165" t="s">
        <v>129</v>
      </c>
      <c r="B165" t="s">
        <v>109</v>
      </c>
      <c r="C165">
        <v>30</v>
      </c>
      <c r="D165" t="s">
        <v>3</v>
      </c>
      <c r="E165" t="s">
        <v>141</v>
      </c>
      <c r="F165">
        <v>8.2391218891040907</v>
      </c>
      <c r="G165">
        <v>2.73378094485217E-2</v>
      </c>
    </row>
    <row r="166" spans="1:7" x14ac:dyDescent="0.3">
      <c r="A166" t="s">
        <v>129</v>
      </c>
      <c r="B166" t="s">
        <v>109</v>
      </c>
      <c r="C166">
        <v>30</v>
      </c>
      <c r="D166" t="s">
        <v>3</v>
      </c>
      <c r="E166" t="s">
        <v>134</v>
      </c>
      <c r="F166">
        <v>1.1071907560362499</v>
      </c>
      <c r="G166">
        <v>0.11886984534075599</v>
      </c>
    </row>
    <row r="167" spans="1:7" x14ac:dyDescent="0.3">
      <c r="A167" t="s">
        <v>129</v>
      </c>
      <c r="B167" t="s">
        <v>109</v>
      </c>
      <c r="C167">
        <v>30</v>
      </c>
      <c r="D167" t="s">
        <v>3</v>
      </c>
      <c r="E167" t="s">
        <v>79</v>
      </c>
      <c r="F167">
        <v>9.9426796006747793</v>
      </c>
      <c r="G167">
        <v>6.0548524058287201E-2</v>
      </c>
    </row>
    <row r="168" spans="1:7" x14ac:dyDescent="0.3">
      <c r="A168" t="s">
        <v>129</v>
      </c>
      <c r="B168" t="s">
        <v>109</v>
      </c>
      <c r="C168">
        <v>30</v>
      </c>
      <c r="D168" t="s">
        <v>3</v>
      </c>
      <c r="E168" t="s">
        <v>135</v>
      </c>
      <c r="F168">
        <v>2.66100138436614</v>
      </c>
      <c r="G168">
        <v>9.8324018315412796E-3</v>
      </c>
    </row>
    <row r="169" spans="1:7" x14ac:dyDescent="0.3">
      <c r="A169" t="s">
        <v>129</v>
      </c>
      <c r="B169" t="s">
        <v>109</v>
      </c>
      <c r="C169">
        <v>30</v>
      </c>
      <c r="D169" t="s">
        <v>3</v>
      </c>
      <c r="E169" t="s">
        <v>136</v>
      </c>
      <c r="F169">
        <v>2.1430645082561801</v>
      </c>
      <c r="G169">
        <v>5.2387759323369698E-2</v>
      </c>
    </row>
    <row r="170" spans="1:7" x14ac:dyDescent="0.3">
      <c r="A170" t="s">
        <v>129</v>
      </c>
      <c r="B170" t="s">
        <v>109</v>
      </c>
      <c r="C170">
        <v>30</v>
      </c>
      <c r="D170" t="s">
        <v>3</v>
      </c>
      <c r="E170" t="s">
        <v>137</v>
      </c>
      <c r="F170">
        <v>1.1071907560362499</v>
      </c>
      <c r="G170">
        <v>6.5273706891837494E-2</v>
      </c>
    </row>
    <row r="171" spans="1:7" x14ac:dyDescent="0.3">
      <c r="A171" t="s">
        <v>129</v>
      </c>
      <c r="B171" t="s">
        <v>109</v>
      </c>
      <c r="C171">
        <v>30</v>
      </c>
      <c r="D171" t="s">
        <v>3</v>
      </c>
      <c r="E171" t="s">
        <v>142</v>
      </c>
      <c r="F171">
        <v>7.7793090330113399</v>
      </c>
      <c r="G171">
        <v>8.3937360044522499E-3</v>
      </c>
    </row>
    <row r="172" spans="1:7" x14ac:dyDescent="0.3">
      <c r="A172" t="s">
        <v>129</v>
      </c>
      <c r="B172" t="s">
        <v>109</v>
      </c>
      <c r="C172">
        <v>30</v>
      </c>
      <c r="D172" t="s">
        <v>3</v>
      </c>
      <c r="E172" t="s">
        <v>138</v>
      </c>
      <c r="F172">
        <v>12.880182754757699</v>
      </c>
      <c r="G172">
        <v>6.0699928837651601E-2</v>
      </c>
    </row>
    <row r="173" spans="1:7" x14ac:dyDescent="0.3">
      <c r="A173" t="s">
        <v>129</v>
      </c>
      <c r="B173" t="s">
        <v>109</v>
      </c>
      <c r="C173">
        <v>30</v>
      </c>
      <c r="D173" t="s">
        <v>3</v>
      </c>
      <c r="E173" t="s">
        <v>139</v>
      </c>
      <c r="F173">
        <v>1.1071907560362499</v>
      </c>
      <c r="G173">
        <v>6.0909001190584802E-2</v>
      </c>
    </row>
    <row r="174" spans="1:7" x14ac:dyDescent="0.3">
      <c r="A174" t="s">
        <v>129</v>
      </c>
      <c r="B174" t="s">
        <v>109</v>
      </c>
      <c r="C174">
        <v>40</v>
      </c>
      <c r="D174" t="s">
        <v>4</v>
      </c>
      <c r="E174" t="s">
        <v>133</v>
      </c>
      <c r="F174">
        <v>11.4622343553904</v>
      </c>
      <c r="G174">
        <v>1.7965581164956199E-2</v>
      </c>
    </row>
    <row r="175" spans="1:7" x14ac:dyDescent="0.3">
      <c r="A175" t="s">
        <v>129</v>
      </c>
      <c r="B175" t="s">
        <v>109</v>
      </c>
      <c r="C175">
        <v>40</v>
      </c>
      <c r="D175" t="s">
        <v>4</v>
      </c>
      <c r="E175" t="s">
        <v>140</v>
      </c>
      <c r="F175">
        <v>14.190586677998001</v>
      </c>
      <c r="G175">
        <v>1.4140738851228799E-2</v>
      </c>
    </row>
    <row r="176" spans="1:7" x14ac:dyDescent="0.3">
      <c r="A176" t="s">
        <v>129</v>
      </c>
      <c r="B176" t="s">
        <v>109</v>
      </c>
      <c r="C176">
        <v>40</v>
      </c>
      <c r="D176" t="s">
        <v>4</v>
      </c>
      <c r="E176" t="s">
        <v>141</v>
      </c>
      <c r="F176">
        <v>9.4828303181079008</v>
      </c>
      <c r="G176">
        <v>3.1464494852531902E-2</v>
      </c>
    </row>
    <row r="177" spans="1:7" x14ac:dyDescent="0.3">
      <c r="A177" t="s">
        <v>129</v>
      </c>
      <c r="B177" t="s">
        <v>109</v>
      </c>
      <c r="C177">
        <v>40</v>
      </c>
      <c r="D177" t="s">
        <v>4</v>
      </c>
      <c r="E177" t="s">
        <v>134</v>
      </c>
      <c r="F177">
        <v>1.2743229449189499</v>
      </c>
      <c r="G177">
        <v>0.13681343576150101</v>
      </c>
    </row>
    <row r="178" spans="1:7" x14ac:dyDescent="0.3">
      <c r="A178" t="s">
        <v>129</v>
      </c>
      <c r="B178" t="s">
        <v>109</v>
      </c>
      <c r="C178">
        <v>40</v>
      </c>
      <c r="D178" t="s">
        <v>4</v>
      </c>
      <c r="E178" t="s">
        <v>79</v>
      </c>
      <c r="F178">
        <v>11.4435427500107</v>
      </c>
      <c r="G178">
        <v>5.2266314364392101E-2</v>
      </c>
    </row>
    <row r="179" spans="1:7" x14ac:dyDescent="0.3">
      <c r="A179" t="s">
        <v>129</v>
      </c>
      <c r="B179" t="s">
        <v>109</v>
      </c>
      <c r="C179">
        <v>40</v>
      </c>
      <c r="D179" t="s">
        <v>4</v>
      </c>
      <c r="E179" t="s">
        <v>135</v>
      </c>
      <c r="F179">
        <v>3.0626837354554799</v>
      </c>
      <c r="G179">
        <v>1.13166183778958E-2</v>
      </c>
    </row>
    <row r="180" spans="1:7" x14ac:dyDescent="0.3">
      <c r="A180" t="s">
        <v>129</v>
      </c>
      <c r="B180" t="s">
        <v>109</v>
      </c>
      <c r="C180">
        <v>40</v>
      </c>
      <c r="D180" t="s">
        <v>4</v>
      </c>
      <c r="E180" t="s">
        <v>136</v>
      </c>
      <c r="F180">
        <v>2.46656347194331</v>
      </c>
      <c r="G180">
        <v>6.0295774124469098E-2</v>
      </c>
    </row>
    <row r="181" spans="1:7" x14ac:dyDescent="0.3">
      <c r="A181" t="s">
        <v>129</v>
      </c>
      <c r="B181" t="s">
        <v>109</v>
      </c>
      <c r="C181">
        <v>40</v>
      </c>
      <c r="D181" t="s">
        <v>4</v>
      </c>
      <c r="E181" t="s">
        <v>137</v>
      </c>
      <c r="F181">
        <v>1.2743229449189499</v>
      </c>
      <c r="G181">
        <v>7.5126875778810998E-2</v>
      </c>
    </row>
    <row r="182" spans="1:7" x14ac:dyDescent="0.3">
      <c r="A182" t="s">
        <v>129</v>
      </c>
      <c r="B182" t="s">
        <v>109</v>
      </c>
      <c r="C182">
        <v>40</v>
      </c>
      <c r="D182" t="s">
        <v>4</v>
      </c>
      <c r="E182" t="s">
        <v>142</v>
      </c>
      <c r="F182">
        <v>8.95360798700262</v>
      </c>
      <c r="G182">
        <v>9.66078367774564E-3</v>
      </c>
    </row>
    <row r="183" spans="1:7" x14ac:dyDescent="0.3">
      <c r="A183" t="s">
        <v>129</v>
      </c>
      <c r="B183" t="s">
        <v>109</v>
      </c>
      <c r="C183">
        <v>40</v>
      </c>
      <c r="D183" t="s">
        <v>4</v>
      </c>
      <c r="E183" t="s">
        <v>138</v>
      </c>
      <c r="F183">
        <v>14.8244666329203</v>
      </c>
      <c r="G183">
        <v>6.9862678721854102E-2</v>
      </c>
    </row>
    <row r="184" spans="1:7" x14ac:dyDescent="0.3">
      <c r="A184" t="s">
        <v>129</v>
      </c>
      <c r="B184" t="s">
        <v>109</v>
      </c>
      <c r="C184">
        <v>40</v>
      </c>
      <c r="D184" t="s">
        <v>4</v>
      </c>
      <c r="E184" t="s">
        <v>139</v>
      </c>
      <c r="F184">
        <v>1.2743229449189499</v>
      </c>
      <c r="G184">
        <v>7.0103310875833394E-2</v>
      </c>
    </row>
    <row r="185" spans="1:7" x14ac:dyDescent="0.3">
      <c r="A185" t="s">
        <v>129</v>
      </c>
      <c r="B185" t="s">
        <v>109</v>
      </c>
      <c r="C185">
        <v>40</v>
      </c>
      <c r="D185" t="s">
        <v>2</v>
      </c>
      <c r="E185" t="s">
        <v>133</v>
      </c>
      <c r="F185">
        <v>9.9148952537777504</v>
      </c>
      <c r="G185">
        <v>1.5540325725412699E-2</v>
      </c>
    </row>
    <row r="186" spans="1:7" x14ac:dyDescent="0.3">
      <c r="A186" t="s">
        <v>129</v>
      </c>
      <c r="B186" t="s">
        <v>109</v>
      </c>
      <c r="C186">
        <v>40</v>
      </c>
      <c r="D186" t="s">
        <v>2</v>
      </c>
      <c r="E186" t="s">
        <v>140</v>
      </c>
      <c r="F186">
        <v>12.274934898346199</v>
      </c>
      <c r="G186">
        <v>1.22318162562279E-2</v>
      </c>
    </row>
    <row r="187" spans="1:7" x14ac:dyDescent="0.3">
      <c r="A187" t="s">
        <v>129</v>
      </c>
      <c r="B187" t="s">
        <v>109</v>
      </c>
      <c r="C187">
        <v>40</v>
      </c>
      <c r="D187" t="s">
        <v>2</v>
      </c>
      <c r="E187" t="s">
        <v>141</v>
      </c>
      <c r="F187">
        <v>8.2026999621737406</v>
      </c>
      <c r="G187">
        <v>2.7216959713371399E-2</v>
      </c>
    </row>
    <row r="188" spans="1:7" x14ac:dyDescent="0.3">
      <c r="A188" t="s">
        <v>129</v>
      </c>
      <c r="B188" t="s">
        <v>109</v>
      </c>
      <c r="C188">
        <v>40</v>
      </c>
      <c r="D188" t="s">
        <v>2</v>
      </c>
      <c r="E188" t="s">
        <v>134</v>
      </c>
      <c r="F188">
        <v>1.1022962998846</v>
      </c>
      <c r="G188">
        <v>0.118344368368878</v>
      </c>
    </row>
    <row r="189" spans="1:7" x14ac:dyDescent="0.3">
      <c r="A189" t="s">
        <v>129</v>
      </c>
      <c r="B189" t="s">
        <v>109</v>
      </c>
      <c r="C189">
        <v>40</v>
      </c>
      <c r="D189" t="s">
        <v>2</v>
      </c>
      <c r="E189" t="s">
        <v>79</v>
      </c>
      <c r="F189">
        <v>9.8987269131454898</v>
      </c>
      <c r="G189">
        <v>4.5210647082980102E-2</v>
      </c>
    </row>
    <row r="190" spans="1:7" x14ac:dyDescent="0.3">
      <c r="A190" t="s">
        <v>129</v>
      </c>
      <c r="B190" t="s">
        <v>109</v>
      </c>
      <c r="C190">
        <v>40</v>
      </c>
      <c r="D190" t="s">
        <v>2</v>
      </c>
      <c r="E190" t="s">
        <v>135</v>
      </c>
      <c r="F190">
        <v>2.6492381407477801</v>
      </c>
      <c r="G190">
        <v>9.7889366387842892E-3</v>
      </c>
    </row>
    <row r="191" spans="1:7" x14ac:dyDescent="0.3">
      <c r="A191" t="s">
        <v>129</v>
      </c>
      <c r="B191" t="s">
        <v>109</v>
      </c>
      <c r="C191">
        <v>40</v>
      </c>
      <c r="D191" t="s">
        <v>2</v>
      </c>
      <c r="E191" t="s">
        <v>136</v>
      </c>
      <c r="F191">
        <v>2.1335908604600502</v>
      </c>
      <c r="G191">
        <v>5.2156173583068503E-2</v>
      </c>
    </row>
    <row r="192" spans="1:7" x14ac:dyDescent="0.3">
      <c r="A192" t="s">
        <v>129</v>
      </c>
      <c r="B192" t="s">
        <v>109</v>
      </c>
      <c r="C192">
        <v>40</v>
      </c>
      <c r="D192" t="s">
        <v>2</v>
      </c>
      <c r="E192" t="s">
        <v>137</v>
      </c>
      <c r="F192">
        <v>1.1022962998846</v>
      </c>
      <c r="G192">
        <v>6.4985157430513099E-2</v>
      </c>
    </row>
    <row r="193" spans="1:7" x14ac:dyDescent="0.3">
      <c r="A193" t="s">
        <v>129</v>
      </c>
      <c r="B193" t="s">
        <v>109</v>
      </c>
      <c r="C193">
        <v>40</v>
      </c>
      <c r="D193" t="s">
        <v>2</v>
      </c>
      <c r="E193" t="s">
        <v>142</v>
      </c>
      <c r="F193">
        <v>7.7449197584038503</v>
      </c>
      <c r="G193">
        <v>8.3566305891493095E-3</v>
      </c>
    </row>
    <row r="194" spans="1:7" x14ac:dyDescent="0.3">
      <c r="A194" t="s">
        <v>129</v>
      </c>
      <c r="B194" t="s">
        <v>109</v>
      </c>
      <c r="C194">
        <v>40</v>
      </c>
      <c r="D194" t="s">
        <v>2</v>
      </c>
      <c r="E194" t="s">
        <v>138</v>
      </c>
      <c r="F194">
        <v>12.823244517715301</v>
      </c>
      <c r="G194">
        <v>6.0431598255514501E-2</v>
      </c>
    </row>
    <row r="195" spans="1:7" x14ac:dyDescent="0.3">
      <c r="A195" t="s">
        <v>129</v>
      </c>
      <c r="B195" t="s">
        <v>109</v>
      </c>
      <c r="C195">
        <v>40</v>
      </c>
      <c r="D195" t="s">
        <v>2</v>
      </c>
      <c r="E195" t="s">
        <v>139</v>
      </c>
      <c r="F195">
        <v>1.1022962998846</v>
      </c>
      <c r="G195">
        <v>6.0639746381562401E-2</v>
      </c>
    </row>
    <row r="196" spans="1:7" x14ac:dyDescent="0.3">
      <c r="A196" t="s">
        <v>129</v>
      </c>
      <c r="B196" t="s">
        <v>109</v>
      </c>
      <c r="C196">
        <v>40</v>
      </c>
      <c r="D196" t="s">
        <v>46</v>
      </c>
      <c r="E196" t="s">
        <v>133</v>
      </c>
      <c r="F196">
        <v>11.081545248901399</v>
      </c>
      <c r="G196">
        <v>1.7368899852291699E-2</v>
      </c>
    </row>
    <row r="197" spans="1:7" x14ac:dyDescent="0.3">
      <c r="A197" t="s">
        <v>129</v>
      </c>
      <c r="B197" t="s">
        <v>109</v>
      </c>
      <c r="C197">
        <v>40</v>
      </c>
      <c r="D197" t="s">
        <v>46</v>
      </c>
      <c r="E197" t="s">
        <v>140</v>
      </c>
      <c r="F197">
        <v>13.719282253790301</v>
      </c>
      <c r="G197">
        <v>1.3671089996436601E-2</v>
      </c>
    </row>
    <row r="198" spans="1:7" x14ac:dyDescent="0.3">
      <c r="A198" t="s">
        <v>129</v>
      </c>
      <c r="B198" t="s">
        <v>109</v>
      </c>
      <c r="C198">
        <v>40</v>
      </c>
      <c r="D198" t="s">
        <v>46</v>
      </c>
      <c r="E198" t="s">
        <v>141</v>
      </c>
      <c r="F198">
        <v>9.1678821074137495</v>
      </c>
      <c r="G198">
        <v>3.0419481283610699E-2</v>
      </c>
    </row>
    <row r="199" spans="1:7" x14ac:dyDescent="0.3">
      <c r="A199" t="s">
        <v>129</v>
      </c>
      <c r="B199" t="s">
        <v>109</v>
      </c>
      <c r="C199">
        <v>40</v>
      </c>
      <c r="D199" t="s">
        <v>46</v>
      </c>
      <c r="E199" t="s">
        <v>134</v>
      </c>
      <c r="F199">
        <v>1.2319995332490901</v>
      </c>
      <c r="G199">
        <v>0.13226952372822101</v>
      </c>
    </row>
    <row r="200" spans="1:7" x14ac:dyDescent="0.3">
      <c r="A200" t="s">
        <v>129</v>
      </c>
      <c r="B200" t="s">
        <v>109</v>
      </c>
      <c r="C200">
        <v>40</v>
      </c>
      <c r="D200" t="s">
        <v>46</v>
      </c>
      <c r="E200" t="s">
        <v>79</v>
      </c>
      <c r="F200">
        <v>11.063474437891299</v>
      </c>
      <c r="G200">
        <v>5.0530421003819201E-2</v>
      </c>
    </row>
    <row r="201" spans="1:7" x14ac:dyDescent="0.3">
      <c r="A201" t="s">
        <v>129</v>
      </c>
      <c r="B201" t="s">
        <v>109</v>
      </c>
      <c r="C201">
        <v>40</v>
      </c>
      <c r="D201" t="s">
        <v>46</v>
      </c>
      <c r="E201" t="s">
        <v>135</v>
      </c>
      <c r="F201">
        <v>2.96096444595582</v>
      </c>
      <c r="G201">
        <v>1.09407655375871E-2</v>
      </c>
    </row>
    <row r="202" spans="1:7" x14ac:dyDescent="0.3">
      <c r="A202" t="s">
        <v>129</v>
      </c>
      <c r="B202" t="s">
        <v>109</v>
      </c>
      <c r="C202">
        <v>40</v>
      </c>
      <c r="D202" t="s">
        <v>46</v>
      </c>
      <c r="E202" t="s">
        <v>136</v>
      </c>
      <c r="F202">
        <v>2.38464280838692</v>
      </c>
      <c r="G202">
        <v>5.8293202578223402E-2</v>
      </c>
    </row>
    <row r="203" spans="1:7" x14ac:dyDescent="0.3">
      <c r="A203" t="s">
        <v>129</v>
      </c>
      <c r="B203" t="s">
        <v>109</v>
      </c>
      <c r="C203">
        <v>40</v>
      </c>
      <c r="D203" t="s">
        <v>46</v>
      </c>
      <c r="E203" t="s">
        <v>137</v>
      </c>
      <c r="F203">
        <v>1.2319995332490901</v>
      </c>
      <c r="G203">
        <v>7.2631726724377801E-2</v>
      </c>
    </row>
    <row r="204" spans="1:7" x14ac:dyDescent="0.3">
      <c r="A204" t="s">
        <v>129</v>
      </c>
      <c r="B204" t="s">
        <v>109</v>
      </c>
      <c r="C204">
        <v>40</v>
      </c>
      <c r="D204" t="s">
        <v>46</v>
      </c>
      <c r="E204" t="s">
        <v>142</v>
      </c>
      <c r="F204">
        <v>8.65623655672632</v>
      </c>
      <c r="G204">
        <v>9.3399251965600102E-3</v>
      </c>
    </row>
    <row r="205" spans="1:7" x14ac:dyDescent="0.3">
      <c r="A205" t="s">
        <v>129</v>
      </c>
      <c r="B205" t="s">
        <v>109</v>
      </c>
      <c r="C205">
        <v>40</v>
      </c>
      <c r="D205" t="s">
        <v>46</v>
      </c>
      <c r="E205" t="s">
        <v>138</v>
      </c>
      <c r="F205">
        <v>14.332109490178</v>
      </c>
      <c r="G205">
        <v>6.75423666504959E-2</v>
      </c>
    </row>
    <row r="206" spans="1:7" x14ac:dyDescent="0.3">
      <c r="A206" t="s">
        <v>129</v>
      </c>
      <c r="B206" t="s">
        <v>109</v>
      </c>
      <c r="C206">
        <v>40</v>
      </c>
      <c r="D206" t="s">
        <v>46</v>
      </c>
      <c r="E206" t="s">
        <v>139</v>
      </c>
      <c r="F206">
        <v>1.2319995332490901</v>
      </c>
      <c r="G206">
        <v>6.7775006816451794E-2</v>
      </c>
    </row>
    <row r="207" spans="1:7" x14ac:dyDescent="0.3">
      <c r="A207" t="s">
        <v>129</v>
      </c>
      <c r="B207" t="s">
        <v>109</v>
      </c>
      <c r="C207">
        <v>40</v>
      </c>
      <c r="D207" t="s">
        <v>3</v>
      </c>
      <c r="E207" t="s">
        <v>133</v>
      </c>
      <c r="F207">
        <v>9.9589197325615899</v>
      </c>
      <c r="G207">
        <v>1.56093284453287E-2</v>
      </c>
    </row>
    <row r="208" spans="1:7" x14ac:dyDescent="0.3">
      <c r="A208" t="s">
        <v>129</v>
      </c>
      <c r="B208" t="s">
        <v>109</v>
      </c>
      <c r="C208">
        <v>40</v>
      </c>
      <c r="D208" t="s">
        <v>3</v>
      </c>
      <c r="E208" t="s">
        <v>140</v>
      </c>
      <c r="F208">
        <v>12.3294385110595</v>
      </c>
      <c r="G208">
        <v>1.22861284119771E-2</v>
      </c>
    </row>
    <row r="209" spans="1:7" x14ac:dyDescent="0.3">
      <c r="A209" t="s">
        <v>129</v>
      </c>
      <c r="B209" t="s">
        <v>109</v>
      </c>
      <c r="C209">
        <v>40</v>
      </c>
      <c r="D209" t="s">
        <v>3</v>
      </c>
      <c r="E209" t="s">
        <v>141</v>
      </c>
      <c r="F209">
        <v>8.2391218891040907</v>
      </c>
      <c r="G209">
        <v>2.73378094485217E-2</v>
      </c>
    </row>
    <row r="210" spans="1:7" x14ac:dyDescent="0.3">
      <c r="A210" t="s">
        <v>129</v>
      </c>
      <c r="B210" t="s">
        <v>109</v>
      </c>
      <c r="C210">
        <v>40</v>
      </c>
      <c r="D210" t="s">
        <v>3</v>
      </c>
      <c r="E210" t="s">
        <v>134</v>
      </c>
      <c r="F210">
        <v>1.1071907560362499</v>
      </c>
      <c r="G210">
        <v>0.11886984534075599</v>
      </c>
    </row>
    <row r="211" spans="1:7" x14ac:dyDescent="0.3">
      <c r="A211" t="s">
        <v>129</v>
      </c>
      <c r="B211" t="s">
        <v>109</v>
      </c>
      <c r="C211">
        <v>40</v>
      </c>
      <c r="D211" t="s">
        <v>3</v>
      </c>
      <c r="E211" t="s">
        <v>79</v>
      </c>
      <c r="F211">
        <v>9.9426796006747793</v>
      </c>
      <c r="G211">
        <v>4.5411393043715401E-2</v>
      </c>
    </row>
    <row r="212" spans="1:7" x14ac:dyDescent="0.3">
      <c r="A212" t="s">
        <v>129</v>
      </c>
      <c r="B212" t="s">
        <v>109</v>
      </c>
      <c r="C212">
        <v>40</v>
      </c>
      <c r="D212" t="s">
        <v>3</v>
      </c>
      <c r="E212" t="s">
        <v>135</v>
      </c>
      <c r="F212">
        <v>2.66100138436614</v>
      </c>
      <c r="G212">
        <v>9.8324018315412796E-3</v>
      </c>
    </row>
    <row r="213" spans="1:7" x14ac:dyDescent="0.3">
      <c r="A213" t="s">
        <v>129</v>
      </c>
      <c r="B213" t="s">
        <v>109</v>
      </c>
      <c r="C213">
        <v>40</v>
      </c>
      <c r="D213" t="s">
        <v>3</v>
      </c>
      <c r="E213" t="s">
        <v>136</v>
      </c>
      <c r="F213">
        <v>2.1430645082561801</v>
      </c>
      <c r="G213">
        <v>5.2387759323369698E-2</v>
      </c>
    </row>
    <row r="214" spans="1:7" x14ac:dyDescent="0.3">
      <c r="A214" t="s">
        <v>129</v>
      </c>
      <c r="B214" t="s">
        <v>109</v>
      </c>
      <c r="C214">
        <v>40</v>
      </c>
      <c r="D214" t="s">
        <v>3</v>
      </c>
      <c r="E214" t="s">
        <v>137</v>
      </c>
      <c r="F214">
        <v>1.1071907560362499</v>
      </c>
      <c r="G214">
        <v>6.5273706891837494E-2</v>
      </c>
    </row>
    <row r="215" spans="1:7" x14ac:dyDescent="0.3">
      <c r="A215" t="s">
        <v>129</v>
      </c>
      <c r="B215" t="s">
        <v>109</v>
      </c>
      <c r="C215">
        <v>40</v>
      </c>
      <c r="D215" t="s">
        <v>3</v>
      </c>
      <c r="E215" t="s">
        <v>142</v>
      </c>
      <c r="F215">
        <v>7.7793090330113399</v>
      </c>
      <c r="G215">
        <v>8.3937360044522499E-3</v>
      </c>
    </row>
    <row r="216" spans="1:7" x14ac:dyDescent="0.3">
      <c r="A216" t="s">
        <v>129</v>
      </c>
      <c r="B216" t="s">
        <v>109</v>
      </c>
      <c r="C216">
        <v>40</v>
      </c>
      <c r="D216" t="s">
        <v>3</v>
      </c>
      <c r="E216" t="s">
        <v>138</v>
      </c>
      <c r="F216">
        <v>12.880182754757699</v>
      </c>
      <c r="G216">
        <v>6.0699928837651601E-2</v>
      </c>
    </row>
    <row r="217" spans="1:7" x14ac:dyDescent="0.3">
      <c r="A217" t="s">
        <v>129</v>
      </c>
      <c r="B217" t="s">
        <v>109</v>
      </c>
      <c r="C217">
        <v>40</v>
      </c>
      <c r="D217" t="s">
        <v>3</v>
      </c>
      <c r="E217" t="s">
        <v>139</v>
      </c>
      <c r="F217">
        <v>1.1071907560362499</v>
      </c>
      <c r="G217">
        <v>6.0909001190584802E-2</v>
      </c>
    </row>
    <row r="218" spans="1:7" x14ac:dyDescent="0.3">
      <c r="A218" t="s">
        <v>129</v>
      </c>
      <c r="B218" t="s">
        <v>109</v>
      </c>
      <c r="C218">
        <v>50</v>
      </c>
      <c r="D218" t="s">
        <v>4</v>
      </c>
      <c r="E218" t="s">
        <v>133</v>
      </c>
      <c r="F218">
        <v>11.4622343553904</v>
      </c>
      <c r="G218">
        <v>1.7965581164956199E-2</v>
      </c>
    </row>
    <row r="219" spans="1:7" x14ac:dyDescent="0.3">
      <c r="A219" t="s">
        <v>129</v>
      </c>
      <c r="B219" t="s">
        <v>109</v>
      </c>
      <c r="C219">
        <v>50</v>
      </c>
      <c r="D219" t="s">
        <v>4</v>
      </c>
      <c r="E219" t="s">
        <v>140</v>
      </c>
      <c r="F219">
        <v>14.190586677998001</v>
      </c>
      <c r="G219">
        <v>1.4140738851228799E-2</v>
      </c>
    </row>
    <row r="220" spans="1:7" x14ac:dyDescent="0.3">
      <c r="A220" t="s">
        <v>129</v>
      </c>
      <c r="B220" t="s">
        <v>109</v>
      </c>
      <c r="C220">
        <v>50</v>
      </c>
      <c r="D220" t="s">
        <v>4</v>
      </c>
      <c r="E220" t="s">
        <v>141</v>
      </c>
      <c r="F220">
        <v>9.4828303181079008</v>
      </c>
      <c r="G220">
        <v>3.1464494852531902E-2</v>
      </c>
    </row>
    <row r="221" spans="1:7" x14ac:dyDescent="0.3">
      <c r="A221" t="s">
        <v>129</v>
      </c>
      <c r="B221" t="s">
        <v>109</v>
      </c>
      <c r="C221">
        <v>50</v>
      </c>
      <c r="D221" t="s">
        <v>4</v>
      </c>
      <c r="E221" t="s">
        <v>134</v>
      </c>
      <c r="F221">
        <v>1.2743229449189499</v>
      </c>
      <c r="G221">
        <v>0.13681343576150101</v>
      </c>
    </row>
    <row r="222" spans="1:7" x14ac:dyDescent="0.3">
      <c r="A222" t="s">
        <v>129</v>
      </c>
      <c r="B222" t="s">
        <v>109</v>
      </c>
      <c r="C222">
        <v>50</v>
      </c>
      <c r="D222" t="s">
        <v>4</v>
      </c>
      <c r="E222" t="s">
        <v>79</v>
      </c>
      <c r="F222">
        <v>11.4435427500107</v>
      </c>
      <c r="G222">
        <v>4.1813051491513702E-2</v>
      </c>
    </row>
    <row r="223" spans="1:7" x14ac:dyDescent="0.3">
      <c r="A223" t="s">
        <v>129</v>
      </c>
      <c r="B223" t="s">
        <v>109</v>
      </c>
      <c r="C223">
        <v>50</v>
      </c>
      <c r="D223" t="s">
        <v>4</v>
      </c>
      <c r="E223" t="s">
        <v>135</v>
      </c>
      <c r="F223">
        <v>3.0626837354554799</v>
      </c>
      <c r="G223">
        <v>1.13166183778958E-2</v>
      </c>
    </row>
    <row r="224" spans="1:7" x14ac:dyDescent="0.3">
      <c r="A224" t="s">
        <v>129</v>
      </c>
      <c r="B224" t="s">
        <v>109</v>
      </c>
      <c r="C224">
        <v>50</v>
      </c>
      <c r="D224" t="s">
        <v>4</v>
      </c>
      <c r="E224" t="s">
        <v>136</v>
      </c>
      <c r="F224">
        <v>2.46656347194331</v>
      </c>
      <c r="G224">
        <v>6.0295774124469098E-2</v>
      </c>
    </row>
    <row r="225" spans="1:7" x14ac:dyDescent="0.3">
      <c r="A225" t="s">
        <v>129</v>
      </c>
      <c r="B225" t="s">
        <v>109</v>
      </c>
      <c r="C225">
        <v>50</v>
      </c>
      <c r="D225" t="s">
        <v>4</v>
      </c>
      <c r="E225" t="s">
        <v>137</v>
      </c>
      <c r="F225">
        <v>1.2743229449189499</v>
      </c>
      <c r="G225">
        <v>7.5126875778810998E-2</v>
      </c>
    </row>
    <row r="226" spans="1:7" x14ac:dyDescent="0.3">
      <c r="A226" t="s">
        <v>129</v>
      </c>
      <c r="B226" t="s">
        <v>109</v>
      </c>
      <c r="C226">
        <v>50</v>
      </c>
      <c r="D226" t="s">
        <v>4</v>
      </c>
      <c r="E226" t="s">
        <v>142</v>
      </c>
      <c r="F226">
        <v>8.95360798700262</v>
      </c>
      <c r="G226">
        <v>9.66078367774564E-3</v>
      </c>
    </row>
    <row r="227" spans="1:7" x14ac:dyDescent="0.3">
      <c r="A227" t="s">
        <v>129</v>
      </c>
      <c r="B227" t="s">
        <v>109</v>
      </c>
      <c r="C227">
        <v>50</v>
      </c>
      <c r="D227" t="s">
        <v>4</v>
      </c>
      <c r="E227" t="s">
        <v>138</v>
      </c>
      <c r="F227">
        <v>14.8244666329203</v>
      </c>
      <c r="G227">
        <v>6.9862678721854102E-2</v>
      </c>
    </row>
    <row r="228" spans="1:7" x14ac:dyDescent="0.3">
      <c r="A228" t="s">
        <v>129</v>
      </c>
      <c r="B228" t="s">
        <v>109</v>
      </c>
      <c r="C228">
        <v>50</v>
      </c>
      <c r="D228" t="s">
        <v>4</v>
      </c>
      <c r="E228" t="s">
        <v>139</v>
      </c>
      <c r="F228">
        <v>1.2743229449189499</v>
      </c>
      <c r="G228">
        <v>7.0103310875833394E-2</v>
      </c>
    </row>
    <row r="229" spans="1:7" x14ac:dyDescent="0.3">
      <c r="A229" t="s">
        <v>129</v>
      </c>
      <c r="B229" t="s">
        <v>109</v>
      </c>
      <c r="C229">
        <v>50</v>
      </c>
      <c r="D229" t="s">
        <v>2</v>
      </c>
      <c r="E229" t="s">
        <v>133</v>
      </c>
      <c r="F229">
        <v>9.9148952537777504</v>
      </c>
      <c r="G229">
        <v>1.5540325725412699E-2</v>
      </c>
    </row>
    <row r="230" spans="1:7" x14ac:dyDescent="0.3">
      <c r="A230" t="s">
        <v>129</v>
      </c>
      <c r="B230" t="s">
        <v>109</v>
      </c>
      <c r="C230">
        <v>50</v>
      </c>
      <c r="D230" t="s">
        <v>2</v>
      </c>
      <c r="E230" t="s">
        <v>140</v>
      </c>
      <c r="F230">
        <v>12.274934898346199</v>
      </c>
      <c r="G230">
        <v>1.22318162562279E-2</v>
      </c>
    </row>
    <row r="231" spans="1:7" x14ac:dyDescent="0.3">
      <c r="A231" t="s">
        <v>129</v>
      </c>
      <c r="B231" t="s">
        <v>109</v>
      </c>
      <c r="C231">
        <v>50</v>
      </c>
      <c r="D231" t="s">
        <v>2</v>
      </c>
      <c r="E231" t="s">
        <v>141</v>
      </c>
      <c r="F231">
        <v>8.2026999621737406</v>
      </c>
      <c r="G231">
        <v>2.7216959713371399E-2</v>
      </c>
    </row>
    <row r="232" spans="1:7" x14ac:dyDescent="0.3">
      <c r="A232" t="s">
        <v>129</v>
      </c>
      <c r="B232" t="s">
        <v>109</v>
      </c>
      <c r="C232">
        <v>50</v>
      </c>
      <c r="D232" t="s">
        <v>2</v>
      </c>
      <c r="E232" t="s">
        <v>134</v>
      </c>
      <c r="F232">
        <v>1.1022962998846</v>
      </c>
      <c r="G232">
        <v>0.118344368368878</v>
      </c>
    </row>
    <row r="233" spans="1:7" x14ac:dyDescent="0.3">
      <c r="A233" t="s">
        <v>129</v>
      </c>
      <c r="B233" t="s">
        <v>109</v>
      </c>
      <c r="C233">
        <v>50</v>
      </c>
      <c r="D233" t="s">
        <v>2</v>
      </c>
      <c r="E233" t="s">
        <v>79</v>
      </c>
      <c r="F233">
        <v>9.8987269131454898</v>
      </c>
      <c r="G233">
        <v>3.6168517666384098E-2</v>
      </c>
    </row>
    <row r="234" spans="1:7" x14ac:dyDescent="0.3">
      <c r="A234" t="s">
        <v>129</v>
      </c>
      <c r="B234" t="s">
        <v>109</v>
      </c>
      <c r="C234">
        <v>50</v>
      </c>
      <c r="D234" t="s">
        <v>2</v>
      </c>
      <c r="E234" t="s">
        <v>135</v>
      </c>
      <c r="F234">
        <v>2.6492381407477801</v>
      </c>
      <c r="G234">
        <v>9.7889366387842892E-3</v>
      </c>
    </row>
    <row r="235" spans="1:7" x14ac:dyDescent="0.3">
      <c r="A235" t="s">
        <v>129</v>
      </c>
      <c r="B235" t="s">
        <v>109</v>
      </c>
      <c r="C235">
        <v>50</v>
      </c>
      <c r="D235" t="s">
        <v>2</v>
      </c>
      <c r="E235" t="s">
        <v>136</v>
      </c>
      <c r="F235">
        <v>2.1335908604600502</v>
      </c>
      <c r="G235">
        <v>5.2156173583068503E-2</v>
      </c>
    </row>
    <row r="236" spans="1:7" x14ac:dyDescent="0.3">
      <c r="A236" t="s">
        <v>129</v>
      </c>
      <c r="B236" t="s">
        <v>109</v>
      </c>
      <c r="C236">
        <v>50</v>
      </c>
      <c r="D236" t="s">
        <v>2</v>
      </c>
      <c r="E236" t="s">
        <v>137</v>
      </c>
      <c r="F236">
        <v>1.1022962998846</v>
      </c>
      <c r="G236">
        <v>6.4985157430513099E-2</v>
      </c>
    </row>
    <row r="237" spans="1:7" x14ac:dyDescent="0.3">
      <c r="A237" t="s">
        <v>129</v>
      </c>
      <c r="B237" t="s">
        <v>109</v>
      </c>
      <c r="C237">
        <v>50</v>
      </c>
      <c r="D237" t="s">
        <v>2</v>
      </c>
      <c r="E237" t="s">
        <v>142</v>
      </c>
      <c r="F237">
        <v>7.7449197584038503</v>
      </c>
      <c r="G237">
        <v>8.3566305891493095E-3</v>
      </c>
    </row>
    <row r="238" spans="1:7" x14ac:dyDescent="0.3">
      <c r="A238" t="s">
        <v>129</v>
      </c>
      <c r="B238" t="s">
        <v>109</v>
      </c>
      <c r="C238">
        <v>50</v>
      </c>
      <c r="D238" t="s">
        <v>2</v>
      </c>
      <c r="E238" t="s">
        <v>138</v>
      </c>
      <c r="F238">
        <v>12.823244517715301</v>
      </c>
      <c r="G238">
        <v>6.0431598255514501E-2</v>
      </c>
    </row>
    <row r="239" spans="1:7" x14ac:dyDescent="0.3">
      <c r="A239" t="s">
        <v>129</v>
      </c>
      <c r="B239" t="s">
        <v>109</v>
      </c>
      <c r="C239">
        <v>50</v>
      </c>
      <c r="D239" t="s">
        <v>2</v>
      </c>
      <c r="E239" t="s">
        <v>139</v>
      </c>
      <c r="F239">
        <v>1.1022962998846</v>
      </c>
      <c r="G239">
        <v>6.0639746381562401E-2</v>
      </c>
    </row>
    <row r="240" spans="1:7" x14ac:dyDescent="0.3">
      <c r="A240" t="s">
        <v>129</v>
      </c>
      <c r="B240" t="s">
        <v>109</v>
      </c>
      <c r="C240">
        <v>50</v>
      </c>
      <c r="D240" t="s">
        <v>46</v>
      </c>
      <c r="E240" t="s">
        <v>133</v>
      </c>
      <c r="F240">
        <v>11.081545248901399</v>
      </c>
      <c r="G240">
        <v>1.7368899852291699E-2</v>
      </c>
    </row>
    <row r="241" spans="1:7" x14ac:dyDescent="0.3">
      <c r="A241" t="s">
        <v>129</v>
      </c>
      <c r="B241" t="s">
        <v>109</v>
      </c>
      <c r="C241">
        <v>50</v>
      </c>
      <c r="D241" t="s">
        <v>46</v>
      </c>
      <c r="E241" t="s">
        <v>140</v>
      </c>
      <c r="F241">
        <v>13.719282253790301</v>
      </c>
      <c r="G241">
        <v>1.3671089996436601E-2</v>
      </c>
    </row>
    <row r="242" spans="1:7" x14ac:dyDescent="0.3">
      <c r="A242" t="s">
        <v>129</v>
      </c>
      <c r="B242" t="s">
        <v>109</v>
      </c>
      <c r="C242">
        <v>50</v>
      </c>
      <c r="D242" t="s">
        <v>46</v>
      </c>
      <c r="E242" t="s">
        <v>141</v>
      </c>
      <c r="F242">
        <v>9.1678821074137495</v>
      </c>
      <c r="G242">
        <v>3.0419481283610699E-2</v>
      </c>
    </row>
    <row r="243" spans="1:7" x14ac:dyDescent="0.3">
      <c r="A243" t="s">
        <v>129</v>
      </c>
      <c r="B243" t="s">
        <v>109</v>
      </c>
      <c r="C243">
        <v>50</v>
      </c>
      <c r="D243" t="s">
        <v>46</v>
      </c>
      <c r="E243" t="s">
        <v>134</v>
      </c>
      <c r="F243">
        <v>1.2319995332490901</v>
      </c>
      <c r="G243">
        <v>0.13226952372822101</v>
      </c>
    </row>
    <row r="244" spans="1:7" x14ac:dyDescent="0.3">
      <c r="A244" t="s">
        <v>129</v>
      </c>
      <c r="B244" t="s">
        <v>109</v>
      </c>
      <c r="C244">
        <v>50</v>
      </c>
      <c r="D244" t="s">
        <v>46</v>
      </c>
      <c r="E244" t="s">
        <v>79</v>
      </c>
      <c r="F244">
        <v>11.063474437891299</v>
      </c>
      <c r="G244">
        <v>4.0424336803055398E-2</v>
      </c>
    </row>
    <row r="245" spans="1:7" x14ac:dyDescent="0.3">
      <c r="A245" t="s">
        <v>129</v>
      </c>
      <c r="B245" t="s">
        <v>109</v>
      </c>
      <c r="C245">
        <v>50</v>
      </c>
      <c r="D245" t="s">
        <v>46</v>
      </c>
      <c r="E245" t="s">
        <v>135</v>
      </c>
      <c r="F245">
        <v>2.96096444595582</v>
      </c>
      <c r="G245">
        <v>1.09407655375871E-2</v>
      </c>
    </row>
    <row r="246" spans="1:7" x14ac:dyDescent="0.3">
      <c r="A246" t="s">
        <v>129</v>
      </c>
      <c r="B246" t="s">
        <v>109</v>
      </c>
      <c r="C246">
        <v>50</v>
      </c>
      <c r="D246" t="s">
        <v>46</v>
      </c>
      <c r="E246" t="s">
        <v>136</v>
      </c>
      <c r="F246">
        <v>2.38464280838692</v>
      </c>
      <c r="G246">
        <v>5.8293202578223402E-2</v>
      </c>
    </row>
    <row r="247" spans="1:7" x14ac:dyDescent="0.3">
      <c r="A247" t="s">
        <v>129</v>
      </c>
      <c r="B247" t="s">
        <v>109</v>
      </c>
      <c r="C247">
        <v>50</v>
      </c>
      <c r="D247" t="s">
        <v>46</v>
      </c>
      <c r="E247" t="s">
        <v>137</v>
      </c>
      <c r="F247">
        <v>1.2319995332490901</v>
      </c>
      <c r="G247">
        <v>7.2631726724377801E-2</v>
      </c>
    </row>
    <row r="248" spans="1:7" x14ac:dyDescent="0.3">
      <c r="A248" t="s">
        <v>129</v>
      </c>
      <c r="B248" t="s">
        <v>109</v>
      </c>
      <c r="C248">
        <v>50</v>
      </c>
      <c r="D248" t="s">
        <v>46</v>
      </c>
      <c r="E248" t="s">
        <v>142</v>
      </c>
      <c r="F248">
        <v>8.65623655672632</v>
      </c>
      <c r="G248">
        <v>9.3399251965600102E-3</v>
      </c>
    </row>
    <row r="249" spans="1:7" x14ac:dyDescent="0.3">
      <c r="A249" t="s">
        <v>129</v>
      </c>
      <c r="B249" t="s">
        <v>109</v>
      </c>
      <c r="C249">
        <v>50</v>
      </c>
      <c r="D249" t="s">
        <v>46</v>
      </c>
      <c r="E249" t="s">
        <v>138</v>
      </c>
      <c r="F249">
        <v>14.332109490178</v>
      </c>
      <c r="G249">
        <v>6.75423666504959E-2</v>
      </c>
    </row>
    <row r="250" spans="1:7" x14ac:dyDescent="0.3">
      <c r="A250" t="s">
        <v>129</v>
      </c>
      <c r="B250" t="s">
        <v>109</v>
      </c>
      <c r="C250">
        <v>50</v>
      </c>
      <c r="D250" t="s">
        <v>46</v>
      </c>
      <c r="E250" t="s">
        <v>139</v>
      </c>
      <c r="F250">
        <v>1.2319995332490901</v>
      </c>
      <c r="G250">
        <v>6.7775006816451794E-2</v>
      </c>
    </row>
    <row r="251" spans="1:7" x14ac:dyDescent="0.3">
      <c r="A251" t="s">
        <v>129</v>
      </c>
      <c r="B251" t="s">
        <v>109</v>
      </c>
      <c r="C251">
        <v>50</v>
      </c>
      <c r="D251" t="s">
        <v>3</v>
      </c>
      <c r="E251" t="s">
        <v>133</v>
      </c>
      <c r="F251">
        <v>9.9589197325615899</v>
      </c>
      <c r="G251">
        <v>1.56093284453287E-2</v>
      </c>
    </row>
    <row r="252" spans="1:7" x14ac:dyDescent="0.3">
      <c r="A252" t="s">
        <v>129</v>
      </c>
      <c r="B252" t="s">
        <v>109</v>
      </c>
      <c r="C252">
        <v>50</v>
      </c>
      <c r="D252" t="s">
        <v>3</v>
      </c>
      <c r="E252" t="s">
        <v>140</v>
      </c>
      <c r="F252">
        <v>12.3294385110595</v>
      </c>
      <c r="G252">
        <v>1.22861284119771E-2</v>
      </c>
    </row>
    <row r="253" spans="1:7" x14ac:dyDescent="0.3">
      <c r="A253" t="s">
        <v>129</v>
      </c>
      <c r="B253" t="s">
        <v>109</v>
      </c>
      <c r="C253">
        <v>50</v>
      </c>
      <c r="D253" t="s">
        <v>3</v>
      </c>
      <c r="E253" t="s">
        <v>141</v>
      </c>
      <c r="F253">
        <v>8.2391218891040907</v>
      </c>
      <c r="G253">
        <v>2.73378094485217E-2</v>
      </c>
    </row>
    <row r="254" spans="1:7" x14ac:dyDescent="0.3">
      <c r="A254" t="s">
        <v>129</v>
      </c>
      <c r="B254" t="s">
        <v>109</v>
      </c>
      <c r="C254">
        <v>50</v>
      </c>
      <c r="D254" t="s">
        <v>3</v>
      </c>
      <c r="E254" t="s">
        <v>134</v>
      </c>
      <c r="F254">
        <v>1.1071907560362499</v>
      </c>
      <c r="G254">
        <v>0.11886984534075599</v>
      </c>
    </row>
    <row r="255" spans="1:7" x14ac:dyDescent="0.3">
      <c r="A255" t="s">
        <v>129</v>
      </c>
      <c r="B255" t="s">
        <v>109</v>
      </c>
      <c r="C255">
        <v>50</v>
      </c>
      <c r="D255" t="s">
        <v>3</v>
      </c>
      <c r="E255" t="s">
        <v>79</v>
      </c>
      <c r="F255">
        <v>9.9426796006747793</v>
      </c>
      <c r="G255">
        <v>3.6329114434972297E-2</v>
      </c>
    </row>
    <row r="256" spans="1:7" x14ac:dyDescent="0.3">
      <c r="A256" t="s">
        <v>129</v>
      </c>
      <c r="B256" t="s">
        <v>109</v>
      </c>
      <c r="C256">
        <v>50</v>
      </c>
      <c r="D256" t="s">
        <v>3</v>
      </c>
      <c r="E256" t="s">
        <v>135</v>
      </c>
      <c r="F256">
        <v>2.66100138436614</v>
      </c>
      <c r="G256">
        <v>9.8324018315412796E-3</v>
      </c>
    </row>
    <row r="257" spans="1:7" x14ac:dyDescent="0.3">
      <c r="A257" t="s">
        <v>129</v>
      </c>
      <c r="B257" t="s">
        <v>109</v>
      </c>
      <c r="C257">
        <v>50</v>
      </c>
      <c r="D257" t="s">
        <v>3</v>
      </c>
      <c r="E257" t="s">
        <v>136</v>
      </c>
      <c r="F257">
        <v>2.1430645082561801</v>
      </c>
      <c r="G257">
        <v>5.2387759323369698E-2</v>
      </c>
    </row>
    <row r="258" spans="1:7" x14ac:dyDescent="0.3">
      <c r="A258" t="s">
        <v>129</v>
      </c>
      <c r="B258" t="s">
        <v>109</v>
      </c>
      <c r="C258">
        <v>50</v>
      </c>
      <c r="D258" t="s">
        <v>3</v>
      </c>
      <c r="E258" t="s">
        <v>137</v>
      </c>
      <c r="F258">
        <v>1.1071907560362499</v>
      </c>
      <c r="G258">
        <v>6.5273706891837494E-2</v>
      </c>
    </row>
    <row r="259" spans="1:7" x14ac:dyDescent="0.3">
      <c r="A259" t="s">
        <v>129</v>
      </c>
      <c r="B259" t="s">
        <v>109</v>
      </c>
      <c r="C259">
        <v>50</v>
      </c>
      <c r="D259" t="s">
        <v>3</v>
      </c>
      <c r="E259" t="s">
        <v>142</v>
      </c>
      <c r="F259">
        <v>7.7793090330113399</v>
      </c>
      <c r="G259">
        <v>8.3937360044522499E-3</v>
      </c>
    </row>
    <row r="260" spans="1:7" x14ac:dyDescent="0.3">
      <c r="A260" t="s">
        <v>129</v>
      </c>
      <c r="B260" t="s">
        <v>109</v>
      </c>
      <c r="C260">
        <v>50</v>
      </c>
      <c r="D260" t="s">
        <v>3</v>
      </c>
      <c r="E260" t="s">
        <v>138</v>
      </c>
      <c r="F260">
        <v>12.880182754757699</v>
      </c>
      <c r="G260">
        <v>6.0699928837651601E-2</v>
      </c>
    </row>
    <row r="261" spans="1:7" x14ac:dyDescent="0.3">
      <c r="A261" t="s">
        <v>129</v>
      </c>
      <c r="B261" t="s">
        <v>109</v>
      </c>
      <c r="C261">
        <v>50</v>
      </c>
      <c r="D261" t="s">
        <v>3</v>
      </c>
      <c r="E261" t="s">
        <v>139</v>
      </c>
      <c r="F261">
        <v>1.1071907560362499</v>
      </c>
      <c r="G261">
        <v>6.0909001190584802E-2</v>
      </c>
    </row>
    <row r="262" spans="1:7" x14ac:dyDescent="0.3">
      <c r="A262" t="s">
        <v>129</v>
      </c>
      <c r="B262" t="s">
        <v>109</v>
      </c>
      <c r="C262">
        <v>60</v>
      </c>
      <c r="D262" t="s">
        <v>4</v>
      </c>
      <c r="E262" t="s">
        <v>133</v>
      </c>
      <c r="F262">
        <v>11.4622343553904</v>
      </c>
      <c r="G262">
        <v>1.7965581164956199E-2</v>
      </c>
    </row>
    <row r="263" spans="1:7" x14ac:dyDescent="0.3">
      <c r="A263" t="s">
        <v>129</v>
      </c>
      <c r="B263" t="s">
        <v>109</v>
      </c>
      <c r="C263">
        <v>60</v>
      </c>
      <c r="D263" t="s">
        <v>4</v>
      </c>
      <c r="E263" t="s">
        <v>140</v>
      </c>
      <c r="F263">
        <v>14.190586677998001</v>
      </c>
      <c r="G263">
        <v>1.4140738851228799E-2</v>
      </c>
    </row>
    <row r="264" spans="1:7" x14ac:dyDescent="0.3">
      <c r="A264" t="s">
        <v>129</v>
      </c>
      <c r="B264" t="s">
        <v>109</v>
      </c>
      <c r="C264">
        <v>60</v>
      </c>
      <c r="D264" t="s">
        <v>4</v>
      </c>
      <c r="E264" t="s">
        <v>141</v>
      </c>
      <c r="F264">
        <v>9.4828303181079008</v>
      </c>
      <c r="G264">
        <v>3.1464494852531902E-2</v>
      </c>
    </row>
    <row r="265" spans="1:7" x14ac:dyDescent="0.3">
      <c r="A265" t="s">
        <v>129</v>
      </c>
      <c r="B265" t="s">
        <v>109</v>
      </c>
      <c r="C265">
        <v>60</v>
      </c>
      <c r="D265" t="s">
        <v>4</v>
      </c>
      <c r="E265" t="s">
        <v>134</v>
      </c>
      <c r="F265">
        <v>1.2743229449189499</v>
      </c>
      <c r="G265">
        <v>0.13681343576150101</v>
      </c>
    </row>
    <row r="266" spans="1:7" x14ac:dyDescent="0.3">
      <c r="A266" t="s">
        <v>129</v>
      </c>
      <c r="B266" t="s">
        <v>109</v>
      </c>
      <c r="C266">
        <v>60</v>
      </c>
      <c r="D266" t="s">
        <v>4</v>
      </c>
      <c r="E266" t="s">
        <v>79</v>
      </c>
      <c r="F266">
        <v>11.4435427500107</v>
      </c>
      <c r="G266">
        <v>3.4844209576261401E-2</v>
      </c>
    </row>
    <row r="267" spans="1:7" x14ac:dyDescent="0.3">
      <c r="A267" t="s">
        <v>129</v>
      </c>
      <c r="B267" t="s">
        <v>109</v>
      </c>
      <c r="C267">
        <v>60</v>
      </c>
      <c r="D267" t="s">
        <v>4</v>
      </c>
      <c r="E267" t="s">
        <v>135</v>
      </c>
      <c r="F267">
        <v>3.0626837354554799</v>
      </c>
      <c r="G267">
        <v>1.13166183778958E-2</v>
      </c>
    </row>
    <row r="268" spans="1:7" x14ac:dyDescent="0.3">
      <c r="A268" t="s">
        <v>129</v>
      </c>
      <c r="B268" t="s">
        <v>109</v>
      </c>
      <c r="C268">
        <v>60</v>
      </c>
      <c r="D268" t="s">
        <v>4</v>
      </c>
      <c r="E268" t="s">
        <v>136</v>
      </c>
      <c r="F268">
        <v>2.46656347194331</v>
      </c>
      <c r="G268">
        <v>6.0295774124469098E-2</v>
      </c>
    </row>
    <row r="269" spans="1:7" x14ac:dyDescent="0.3">
      <c r="A269" t="s">
        <v>129</v>
      </c>
      <c r="B269" t="s">
        <v>109</v>
      </c>
      <c r="C269">
        <v>60</v>
      </c>
      <c r="D269" t="s">
        <v>4</v>
      </c>
      <c r="E269" t="s">
        <v>137</v>
      </c>
      <c r="F269">
        <v>1.2743229449189499</v>
      </c>
      <c r="G269">
        <v>7.5126875778810998E-2</v>
      </c>
    </row>
    <row r="270" spans="1:7" x14ac:dyDescent="0.3">
      <c r="A270" t="s">
        <v>129</v>
      </c>
      <c r="B270" t="s">
        <v>109</v>
      </c>
      <c r="C270">
        <v>60</v>
      </c>
      <c r="D270" t="s">
        <v>4</v>
      </c>
      <c r="E270" t="s">
        <v>142</v>
      </c>
      <c r="F270">
        <v>8.95360798700262</v>
      </c>
      <c r="G270">
        <v>9.66078367774564E-3</v>
      </c>
    </row>
    <row r="271" spans="1:7" x14ac:dyDescent="0.3">
      <c r="A271" t="s">
        <v>129</v>
      </c>
      <c r="B271" t="s">
        <v>109</v>
      </c>
      <c r="C271">
        <v>60</v>
      </c>
      <c r="D271" t="s">
        <v>4</v>
      </c>
      <c r="E271" t="s">
        <v>138</v>
      </c>
      <c r="F271">
        <v>14.8244666329203</v>
      </c>
      <c r="G271">
        <v>6.9862678721854102E-2</v>
      </c>
    </row>
    <row r="272" spans="1:7" x14ac:dyDescent="0.3">
      <c r="A272" t="s">
        <v>129</v>
      </c>
      <c r="B272" t="s">
        <v>109</v>
      </c>
      <c r="C272">
        <v>60</v>
      </c>
      <c r="D272" t="s">
        <v>4</v>
      </c>
      <c r="E272" t="s">
        <v>139</v>
      </c>
      <c r="F272">
        <v>1.2743229449189499</v>
      </c>
      <c r="G272">
        <v>7.0103310875833394E-2</v>
      </c>
    </row>
    <row r="273" spans="1:7" x14ac:dyDescent="0.3">
      <c r="A273" t="s">
        <v>129</v>
      </c>
      <c r="B273" t="s">
        <v>109</v>
      </c>
      <c r="C273">
        <v>60</v>
      </c>
      <c r="D273" t="s">
        <v>2</v>
      </c>
      <c r="E273" t="s">
        <v>133</v>
      </c>
      <c r="F273">
        <v>9.9148952537777504</v>
      </c>
      <c r="G273">
        <v>1.5540325725412699E-2</v>
      </c>
    </row>
    <row r="274" spans="1:7" x14ac:dyDescent="0.3">
      <c r="A274" t="s">
        <v>129</v>
      </c>
      <c r="B274" t="s">
        <v>109</v>
      </c>
      <c r="C274">
        <v>60</v>
      </c>
      <c r="D274" t="s">
        <v>2</v>
      </c>
      <c r="E274" t="s">
        <v>140</v>
      </c>
      <c r="F274">
        <v>12.274934898346199</v>
      </c>
      <c r="G274">
        <v>1.22318162562279E-2</v>
      </c>
    </row>
    <row r="275" spans="1:7" x14ac:dyDescent="0.3">
      <c r="A275" t="s">
        <v>129</v>
      </c>
      <c r="B275" t="s">
        <v>109</v>
      </c>
      <c r="C275">
        <v>60</v>
      </c>
      <c r="D275" t="s">
        <v>2</v>
      </c>
      <c r="E275" t="s">
        <v>141</v>
      </c>
      <c r="F275">
        <v>8.2026999621737406</v>
      </c>
      <c r="G275">
        <v>2.7216959713371399E-2</v>
      </c>
    </row>
    <row r="276" spans="1:7" x14ac:dyDescent="0.3">
      <c r="A276" t="s">
        <v>129</v>
      </c>
      <c r="B276" t="s">
        <v>109</v>
      </c>
      <c r="C276">
        <v>60</v>
      </c>
      <c r="D276" t="s">
        <v>2</v>
      </c>
      <c r="E276" t="s">
        <v>134</v>
      </c>
      <c r="F276">
        <v>1.1022962998846</v>
      </c>
      <c r="G276">
        <v>0.118344368368878</v>
      </c>
    </row>
    <row r="277" spans="1:7" x14ac:dyDescent="0.3">
      <c r="A277" t="s">
        <v>129</v>
      </c>
      <c r="B277" t="s">
        <v>109</v>
      </c>
      <c r="C277">
        <v>60</v>
      </c>
      <c r="D277" t="s">
        <v>2</v>
      </c>
      <c r="E277" t="s">
        <v>79</v>
      </c>
      <c r="F277">
        <v>9.8987269131454898</v>
      </c>
      <c r="G277">
        <v>3.01404313886534E-2</v>
      </c>
    </row>
    <row r="278" spans="1:7" x14ac:dyDescent="0.3">
      <c r="A278" t="s">
        <v>129</v>
      </c>
      <c r="B278" t="s">
        <v>109</v>
      </c>
      <c r="C278">
        <v>60</v>
      </c>
      <c r="D278" t="s">
        <v>2</v>
      </c>
      <c r="E278" t="s">
        <v>135</v>
      </c>
      <c r="F278">
        <v>2.6492381407477801</v>
      </c>
      <c r="G278">
        <v>9.7889366387842892E-3</v>
      </c>
    </row>
    <row r="279" spans="1:7" x14ac:dyDescent="0.3">
      <c r="A279" t="s">
        <v>129</v>
      </c>
      <c r="B279" t="s">
        <v>109</v>
      </c>
      <c r="C279">
        <v>60</v>
      </c>
      <c r="D279" t="s">
        <v>2</v>
      </c>
      <c r="E279" t="s">
        <v>136</v>
      </c>
      <c r="F279">
        <v>2.1335908604600502</v>
      </c>
      <c r="G279">
        <v>5.2156173583068503E-2</v>
      </c>
    </row>
    <row r="280" spans="1:7" x14ac:dyDescent="0.3">
      <c r="A280" t="s">
        <v>129</v>
      </c>
      <c r="B280" t="s">
        <v>109</v>
      </c>
      <c r="C280">
        <v>60</v>
      </c>
      <c r="D280" t="s">
        <v>2</v>
      </c>
      <c r="E280" t="s">
        <v>137</v>
      </c>
      <c r="F280">
        <v>1.1022962998846</v>
      </c>
      <c r="G280">
        <v>6.4985157430513099E-2</v>
      </c>
    </row>
    <row r="281" spans="1:7" x14ac:dyDescent="0.3">
      <c r="A281" t="s">
        <v>129</v>
      </c>
      <c r="B281" t="s">
        <v>109</v>
      </c>
      <c r="C281">
        <v>60</v>
      </c>
      <c r="D281" t="s">
        <v>2</v>
      </c>
      <c r="E281" t="s">
        <v>142</v>
      </c>
      <c r="F281">
        <v>7.7449197584038503</v>
      </c>
      <c r="G281">
        <v>8.3566305891493095E-3</v>
      </c>
    </row>
    <row r="282" spans="1:7" x14ac:dyDescent="0.3">
      <c r="A282" t="s">
        <v>129</v>
      </c>
      <c r="B282" t="s">
        <v>109</v>
      </c>
      <c r="C282">
        <v>60</v>
      </c>
      <c r="D282" t="s">
        <v>2</v>
      </c>
      <c r="E282" t="s">
        <v>138</v>
      </c>
      <c r="F282">
        <v>12.823244517715301</v>
      </c>
      <c r="G282">
        <v>6.0431598255514501E-2</v>
      </c>
    </row>
    <row r="283" spans="1:7" x14ac:dyDescent="0.3">
      <c r="A283" t="s">
        <v>129</v>
      </c>
      <c r="B283" t="s">
        <v>109</v>
      </c>
      <c r="C283">
        <v>60</v>
      </c>
      <c r="D283" t="s">
        <v>2</v>
      </c>
      <c r="E283" t="s">
        <v>139</v>
      </c>
      <c r="F283">
        <v>1.1022962998846</v>
      </c>
      <c r="G283">
        <v>6.0639746381562401E-2</v>
      </c>
    </row>
    <row r="284" spans="1:7" x14ac:dyDescent="0.3">
      <c r="A284" t="s">
        <v>129</v>
      </c>
      <c r="B284" t="s">
        <v>109</v>
      </c>
      <c r="C284">
        <v>60</v>
      </c>
      <c r="D284" t="s">
        <v>46</v>
      </c>
      <c r="E284" t="s">
        <v>133</v>
      </c>
      <c r="F284">
        <v>11.081545248901399</v>
      </c>
      <c r="G284">
        <v>1.7368899852291699E-2</v>
      </c>
    </row>
    <row r="285" spans="1:7" x14ac:dyDescent="0.3">
      <c r="A285" t="s">
        <v>129</v>
      </c>
      <c r="B285" t="s">
        <v>109</v>
      </c>
      <c r="C285">
        <v>60</v>
      </c>
      <c r="D285" t="s">
        <v>46</v>
      </c>
      <c r="E285" t="s">
        <v>140</v>
      </c>
      <c r="F285">
        <v>13.719282253790301</v>
      </c>
      <c r="G285">
        <v>1.3671089996436601E-2</v>
      </c>
    </row>
    <row r="286" spans="1:7" x14ac:dyDescent="0.3">
      <c r="A286" t="s">
        <v>129</v>
      </c>
      <c r="B286" t="s">
        <v>109</v>
      </c>
      <c r="C286">
        <v>60</v>
      </c>
      <c r="D286" t="s">
        <v>46</v>
      </c>
      <c r="E286" t="s">
        <v>141</v>
      </c>
      <c r="F286">
        <v>9.1678821074137495</v>
      </c>
      <c r="G286">
        <v>3.0419481283610699E-2</v>
      </c>
    </row>
    <row r="287" spans="1:7" x14ac:dyDescent="0.3">
      <c r="A287" t="s">
        <v>129</v>
      </c>
      <c r="B287" t="s">
        <v>109</v>
      </c>
      <c r="C287">
        <v>60</v>
      </c>
      <c r="D287" t="s">
        <v>46</v>
      </c>
      <c r="E287" t="s">
        <v>134</v>
      </c>
      <c r="F287">
        <v>1.2319995332490901</v>
      </c>
      <c r="G287">
        <v>0.13226952372822101</v>
      </c>
    </row>
    <row r="288" spans="1:7" x14ac:dyDescent="0.3">
      <c r="A288" t="s">
        <v>129</v>
      </c>
      <c r="B288" t="s">
        <v>109</v>
      </c>
      <c r="C288">
        <v>60</v>
      </c>
      <c r="D288" t="s">
        <v>46</v>
      </c>
      <c r="E288" t="s">
        <v>79</v>
      </c>
      <c r="F288">
        <v>11.063474437891299</v>
      </c>
      <c r="G288">
        <v>3.36869473358795E-2</v>
      </c>
    </row>
    <row r="289" spans="1:7" x14ac:dyDescent="0.3">
      <c r="A289" t="s">
        <v>129</v>
      </c>
      <c r="B289" t="s">
        <v>109</v>
      </c>
      <c r="C289">
        <v>60</v>
      </c>
      <c r="D289" t="s">
        <v>46</v>
      </c>
      <c r="E289" t="s">
        <v>135</v>
      </c>
      <c r="F289">
        <v>2.96096444595582</v>
      </c>
      <c r="G289">
        <v>1.09407655375871E-2</v>
      </c>
    </row>
    <row r="290" spans="1:7" x14ac:dyDescent="0.3">
      <c r="A290" t="s">
        <v>129</v>
      </c>
      <c r="B290" t="s">
        <v>109</v>
      </c>
      <c r="C290">
        <v>60</v>
      </c>
      <c r="D290" t="s">
        <v>46</v>
      </c>
      <c r="E290" t="s">
        <v>136</v>
      </c>
      <c r="F290">
        <v>2.38464280838692</v>
      </c>
      <c r="G290">
        <v>5.8293202578223402E-2</v>
      </c>
    </row>
    <row r="291" spans="1:7" x14ac:dyDescent="0.3">
      <c r="A291" t="s">
        <v>129</v>
      </c>
      <c r="B291" t="s">
        <v>109</v>
      </c>
      <c r="C291">
        <v>60</v>
      </c>
      <c r="D291" t="s">
        <v>46</v>
      </c>
      <c r="E291" t="s">
        <v>137</v>
      </c>
      <c r="F291">
        <v>1.2319995332490901</v>
      </c>
      <c r="G291">
        <v>7.2631726724377801E-2</v>
      </c>
    </row>
    <row r="292" spans="1:7" x14ac:dyDescent="0.3">
      <c r="A292" t="s">
        <v>129</v>
      </c>
      <c r="B292" t="s">
        <v>109</v>
      </c>
      <c r="C292">
        <v>60</v>
      </c>
      <c r="D292" t="s">
        <v>46</v>
      </c>
      <c r="E292" t="s">
        <v>142</v>
      </c>
      <c r="F292">
        <v>8.65623655672632</v>
      </c>
      <c r="G292">
        <v>9.3399251965600102E-3</v>
      </c>
    </row>
    <row r="293" spans="1:7" x14ac:dyDescent="0.3">
      <c r="A293" t="s">
        <v>129</v>
      </c>
      <c r="B293" t="s">
        <v>109</v>
      </c>
      <c r="C293">
        <v>60</v>
      </c>
      <c r="D293" t="s">
        <v>46</v>
      </c>
      <c r="E293" t="s">
        <v>138</v>
      </c>
      <c r="F293">
        <v>14.332109490178</v>
      </c>
      <c r="G293">
        <v>6.75423666504959E-2</v>
      </c>
    </row>
    <row r="294" spans="1:7" x14ac:dyDescent="0.3">
      <c r="A294" t="s">
        <v>129</v>
      </c>
      <c r="B294" t="s">
        <v>109</v>
      </c>
      <c r="C294">
        <v>60</v>
      </c>
      <c r="D294" t="s">
        <v>46</v>
      </c>
      <c r="E294" t="s">
        <v>139</v>
      </c>
      <c r="F294">
        <v>1.2319995332490901</v>
      </c>
      <c r="G294">
        <v>6.7775006816451794E-2</v>
      </c>
    </row>
    <row r="295" spans="1:7" x14ac:dyDescent="0.3">
      <c r="A295" t="s">
        <v>129</v>
      </c>
      <c r="B295" t="s">
        <v>109</v>
      </c>
      <c r="C295">
        <v>60</v>
      </c>
      <c r="D295" t="s">
        <v>3</v>
      </c>
      <c r="E295" t="s">
        <v>133</v>
      </c>
      <c r="F295">
        <v>9.9589197325615899</v>
      </c>
      <c r="G295">
        <v>1.56093284453287E-2</v>
      </c>
    </row>
    <row r="296" spans="1:7" x14ac:dyDescent="0.3">
      <c r="A296" t="s">
        <v>129</v>
      </c>
      <c r="B296" t="s">
        <v>109</v>
      </c>
      <c r="C296">
        <v>60</v>
      </c>
      <c r="D296" t="s">
        <v>3</v>
      </c>
      <c r="E296" t="s">
        <v>140</v>
      </c>
      <c r="F296">
        <v>12.3294385110595</v>
      </c>
      <c r="G296">
        <v>1.22861284119771E-2</v>
      </c>
    </row>
    <row r="297" spans="1:7" x14ac:dyDescent="0.3">
      <c r="A297" t="s">
        <v>129</v>
      </c>
      <c r="B297" t="s">
        <v>109</v>
      </c>
      <c r="C297">
        <v>60</v>
      </c>
      <c r="D297" t="s">
        <v>3</v>
      </c>
      <c r="E297" t="s">
        <v>141</v>
      </c>
      <c r="F297">
        <v>8.2391218891040907</v>
      </c>
      <c r="G297">
        <v>2.73378094485217E-2</v>
      </c>
    </row>
    <row r="298" spans="1:7" x14ac:dyDescent="0.3">
      <c r="A298" t="s">
        <v>129</v>
      </c>
      <c r="B298" t="s">
        <v>109</v>
      </c>
      <c r="C298">
        <v>60</v>
      </c>
      <c r="D298" t="s">
        <v>3</v>
      </c>
      <c r="E298" t="s">
        <v>134</v>
      </c>
      <c r="F298">
        <v>1.1071907560362499</v>
      </c>
      <c r="G298">
        <v>0.11886984534075599</v>
      </c>
    </row>
    <row r="299" spans="1:7" x14ac:dyDescent="0.3">
      <c r="A299" t="s">
        <v>129</v>
      </c>
      <c r="B299" t="s">
        <v>109</v>
      </c>
      <c r="C299">
        <v>60</v>
      </c>
      <c r="D299" t="s">
        <v>3</v>
      </c>
      <c r="E299" t="s">
        <v>79</v>
      </c>
      <c r="F299">
        <v>9.9426796006747793</v>
      </c>
      <c r="G299">
        <v>3.02742620291436E-2</v>
      </c>
    </row>
    <row r="300" spans="1:7" x14ac:dyDescent="0.3">
      <c r="A300" t="s">
        <v>129</v>
      </c>
      <c r="B300" t="s">
        <v>109</v>
      </c>
      <c r="C300">
        <v>60</v>
      </c>
      <c r="D300" t="s">
        <v>3</v>
      </c>
      <c r="E300" t="s">
        <v>135</v>
      </c>
      <c r="F300">
        <v>2.66100138436614</v>
      </c>
      <c r="G300">
        <v>9.8324018315412796E-3</v>
      </c>
    </row>
    <row r="301" spans="1:7" x14ac:dyDescent="0.3">
      <c r="A301" t="s">
        <v>129</v>
      </c>
      <c r="B301" t="s">
        <v>109</v>
      </c>
      <c r="C301">
        <v>60</v>
      </c>
      <c r="D301" t="s">
        <v>3</v>
      </c>
      <c r="E301" t="s">
        <v>136</v>
      </c>
      <c r="F301">
        <v>2.1430645082561801</v>
      </c>
      <c r="G301">
        <v>5.2387759323369698E-2</v>
      </c>
    </row>
    <row r="302" spans="1:7" x14ac:dyDescent="0.3">
      <c r="A302" t="s">
        <v>129</v>
      </c>
      <c r="B302" t="s">
        <v>109</v>
      </c>
      <c r="C302">
        <v>60</v>
      </c>
      <c r="D302" t="s">
        <v>3</v>
      </c>
      <c r="E302" t="s">
        <v>137</v>
      </c>
      <c r="F302">
        <v>1.1071907560362499</v>
      </c>
      <c r="G302">
        <v>6.5273706891837494E-2</v>
      </c>
    </row>
    <row r="303" spans="1:7" x14ac:dyDescent="0.3">
      <c r="A303" t="s">
        <v>129</v>
      </c>
      <c r="B303" t="s">
        <v>109</v>
      </c>
      <c r="C303">
        <v>60</v>
      </c>
      <c r="D303" t="s">
        <v>3</v>
      </c>
      <c r="E303" t="s">
        <v>142</v>
      </c>
      <c r="F303">
        <v>7.7793090330113399</v>
      </c>
      <c r="G303">
        <v>8.3937360044522499E-3</v>
      </c>
    </row>
    <row r="304" spans="1:7" x14ac:dyDescent="0.3">
      <c r="A304" t="s">
        <v>129</v>
      </c>
      <c r="B304" t="s">
        <v>109</v>
      </c>
      <c r="C304">
        <v>60</v>
      </c>
      <c r="D304" t="s">
        <v>3</v>
      </c>
      <c r="E304" t="s">
        <v>138</v>
      </c>
      <c r="F304">
        <v>12.880182754757699</v>
      </c>
      <c r="G304">
        <v>6.0699928837651601E-2</v>
      </c>
    </row>
    <row r="305" spans="1:7" x14ac:dyDescent="0.3">
      <c r="A305" t="s">
        <v>129</v>
      </c>
      <c r="B305" t="s">
        <v>109</v>
      </c>
      <c r="C305">
        <v>60</v>
      </c>
      <c r="D305" t="s">
        <v>3</v>
      </c>
      <c r="E305" t="s">
        <v>139</v>
      </c>
      <c r="F305">
        <v>1.1071907560362499</v>
      </c>
      <c r="G305">
        <v>6.0909001190584802E-2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Mammuthus.primigenius</vt:lpstr>
      <vt:lpstr>Bison.priscus</vt:lpstr>
      <vt:lpstr>Bos.primigenius</vt:lpstr>
      <vt:lpstr>Equus.hydruntinus</vt:lpstr>
      <vt:lpstr>Equus.ferus</vt:lpstr>
      <vt:lpstr>Cervus.elaphus</vt:lpstr>
      <vt:lpstr>Sus.scrofa</vt:lpstr>
      <vt:lpstr>Capreolus.capreolus</vt:lpstr>
      <vt:lpstr>Capra.pyrenaica</vt:lpstr>
      <vt:lpstr>Rupicapra.rupicapra</vt:lpstr>
      <vt:lpstr>Oryctolagus</vt:lpstr>
      <vt:lpstr>Lepus.granatensis</vt:lpstr>
      <vt:lpstr>Fauna_Padul_Pleistocene</vt:lpstr>
      <vt:lpstr>Fauna_Padul_Holocene</vt:lpstr>
      <vt:lpstr>Actual_Pleistocene</vt:lpstr>
      <vt:lpstr>Actual_Holocene</vt:lpstr>
      <vt:lpstr>Biomass</vt:lpstr>
      <vt:lpstr>Summary_Biomass</vt:lpstr>
      <vt:lpstr>Carnivores_CC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Vidal Cordasco, Marco Adolfo</dc:creator>
  <cp:lastModifiedBy>Marco Adolfo Vidal Cordasco</cp:lastModifiedBy>
  <dcterms:created xsi:type="dcterms:W3CDTF">2025-10-20T14:35:05Z</dcterms:created>
  <dcterms:modified xsi:type="dcterms:W3CDTF">2026-10-19T17:02:55Z</dcterms:modified>
</cp:coreProperties>
</file>