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2025\brGDGTs_NPP\Submit\Data&amp;Code\"/>
    </mc:Choice>
  </mc:AlternateContent>
  <xr:revisionPtr revIDLastSave="0" documentId="13_ncr:1_{A908D8DB-9642-471B-818B-66F6B359C8F6}" xr6:coauthVersionLast="47" xr6:coauthVersionMax="47" xr10:uidLastSave="{00000000-0000-0000-0000-000000000000}"/>
  <bookViews>
    <workbookView xWindow="-120" yWindow="-120" windowWidth="29040" windowHeight="15720" xr2:uid="{00000000-000D-0000-FFFF-FFFF00000000}"/>
  </bookViews>
  <sheets>
    <sheet name="Mammuthus.primigenius" sheetId="3" r:id="rId1"/>
    <sheet name="Bison.priscus" sheetId="6" r:id="rId2"/>
    <sheet name="Bos.primigenius" sheetId="7" r:id="rId3"/>
    <sheet name="Equus.hydruntinus" sheetId="4" r:id="rId4"/>
    <sheet name="Equus.ferus" sheetId="5" r:id="rId5"/>
    <sheet name="Cervus.elaphus" sheetId="8" r:id="rId6"/>
    <sheet name="Sus.scrofa" sheetId="12" r:id="rId7"/>
    <sheet name="Capreolus.capreolus" sheetId="9" r:id="rId8"/>
    <sheet name="Capra.pyrenaica" sheetId="10" r:id="rId9"/>
    <sheet name="Rupicapra.rupicapra" sheetId="11" r:id="rId10"/>
    <sheet name="Oryctolagus" sheetId="13" r:id="rId11"/>
    <sheet name="Fauna_Padul_Pleistocene" sheetId="19" r:id="rId12"/>
    <sheet name="Fauna_Padul_Holocene" sheetId="20" r:id="rId13"/>
    <sheet name="Actual_Pleistocene" sheetId="1" r:id="rId14"/>
    <sheet name="Actual_Holocene" sheetId="14" r:id="rId15"/>
    <sheet name="Biomass" sheetId="21" r:id="rId16"/>
    <sheet name="Summary_Biomass" sheetId="22" r:id="rId17"/>
    <sheet name="Human_CC" sheetId="23"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5" i="13" l="1"/>
  <c r="I5" i="13"/>
  <c r="H2" i="4"/>
  <c r="J2" i="7"/>
  <c r="H2" i="7"/>
  <c r="G2" i="7"/>
  <c r="J2" i="6"/>
  <c r="H2" i="6"/>
  <c r="G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tc={1356D82D-BFEC-4701-BAC2-72B39F9A7F09}</author>
  </authors>
  <commentList>
    <comment ref="K5" authorId="0" shapeId="0" xr:uid="{00000000-0006-0000-0700-000001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AnAge</t>
        </r>
      </text>
    </comment>
  </commentList>
</comments>
</file>

<file path=xl/sharedStrings.xml><?xml version="1.0" encoding="utf-8"?>
<sst xmlns="http://schemas.openxmlformats.org/spreadsheetml/2006/main" count="1078" uniqueCount="92">
  <si>
    <t>Primary_Consumers</t>
  </si>
  <si>
    <t>BM_pc</t>
  </si>
  <si>
    <t>Aurignacian_act</t>
  </si>
  <si>
    <t>Gravettian_act</t>
  </si>
  <si>
    <t>Solutrean_act</t>
  </si>
  <si>
    <t>Epipaleolithic_act</t>
  </si>
  <si>
    <t>Oryctolagus</t>
  </si>
  <si>
    <t>Sp</t>
  </si>
  <si>
    <t>Species</t>
  </si>
  <si>
    <t>Age</t>
  </si>
  <si>
    <t>Weight</t>
  </si>
  <si>
    <t>Fecundity</t>
  </si>
  <si>
    <t>Breeding interval (BI)</t>
  </si>
  <si>
    <t>Reproductive maturity (Rm)</t>
  </si>
  <si>
    <t>Litter size (Lt)</t>
  </si>
  <si>
    <t>Weight at birth (Wb)</t>
  </si>
  <si>
    <t>Ref</t>
  </si>
  <si>
    <t>Mammuthus.primigenius</t>
  </si>
  <si>
    <t>Rodríguez-Gómez et al. 2013</t>
  </si>
  <si>
    <t>AdultBodyMass (kg)</t>
  </si>
  <si>
    <t>NeonateBodyMass (g)</t>
  </si>
  <si>
    <t>AgeatFirstBirth (d)</t>
  </si>
  <si>
    <t>LitterSize</t>
  </si>
  <si>
    <t>LittersPerYear</t>
  </si>
  <si>
    <t>Longevity (m)</t>
  </si>
  <si>
    <t>Reference</t>
  </si>
  <si>
    <t>Rodríguez-Gómez G, Rodríguez  J, Martín-González  JA, Mateos A (2017) Evaluating the impact of Homo-carnivore competition in European human settlements during the Early to Middle Pleistocene. Quaternary Research 88(1):129-151</t>
  </si>
  <si>
    <t xml:space="preserve"> </t>
  </si>
  <si>
    <t>BM</t>
  </si>
  <si>
    <t>BI</t>
  </si>
  <si>
    <t>Rm</t>
  </si>
  <si>
    <t>Lt</t>
  </si>
  <si>
    <t>Wb</t>
  </si>
  <si>
    <t>Bison.priscus</t>
  </si>
  <si>
    <t>Bos.primigenius</t>
  </si>
  <si>
    <t>Longev</t>
  </si>
  <si>
    <t>Equus.hydruntinus</t>
  </si>
  <si>
    <t>Anage</t>
  </si>
  <si>
    <t>Equus.ferus</t>
  </si>
  <si>
    <t>Cervus.elaphus</t>
  </si>
  <si>
    <t>Jones KE, Bielby J, Cardillo M, Fritz SA, O'Dell J, Orme CDL, Safi K, Sechrest W, Boakes EH, Carbone C, Connolly C, Cutts MJ, Foster JK, Grenyer R, Habib M, Plaster CA, Price SA, Rigby EA, Rist J, Teacher A, Bininda-Emonds ORP, Gittleman JL, Mace GM, Purvis A (2009) PanTHERIA: a species-level database of life history, ecology, and geography of extant and recently extinct mammals. Ecology 90(9):2648</t>
  </si>
  <si>
    <t>Sus.scrofa</t>
  </si>
  <si>
    <t>Rodríguez Gómez 2013</t>
  </si>
  <si>
    <t>Capra.pyrenaica</t>
  </si>
  <si>
    <t>Rupicapra.rupicapra</t>
  </si>
  <si>
    <t>Capreolus.capreolus</t>
  </si>
  <si>
    <t>Oryctolagus.coniculus</t>
  </si>
  <si>
    <t>Magdalenian_act</t>
  </si>
  <si>
    <t>Site</t>
  </si>
  <si>
    <t>Culture</t>
  </si>
  <si>
    <t>NPP_act</t>
  </si>
  <si>
    <t>SD_act</t>
  </si>
  <si>
    <t>NPP_pot</t>
  </si>
  <si>
    <t>SD_pot</t>
  </si>
  <si>
    <t>Mammuthus primigenius</t>
  </si>
  <si>
    <t>Aurignacian</t>
  </si>
  <si>
    <t>Equus hydruntinus</t>
  </si>
  <si>
    <t>Gravettian</t>
  </si>
  <si>
    <t>Equus ferus</t>
  </si>
  <si>
    <t>Solutrean</t>
  </si>
  <si>
    <t>Bison priscus</t>
  </si>
  <si>
    <t>Magdalenian</t>
  </si>
  <si>
    <t>Bos primigenius</t>
  </si>
  <si>
    <t>Epipaleolithic</t>
  </si>
  <si>
    <t>Cervus elaphus</t>
  </si>
  <si>
    <t>Capreolus capreolus</t>
  </si>
  <si>
    <t>Capra pyrenaica</t>
  </si>
  <si>
    <t>Rupicapra rupicapra</t>
  </si>
  <si>
    <t xml:space="preserve">Sus scrofa </t>
  </si>
  <si>
    <t>Composition</t>
  </si>
  <si>
    <t>Chron</t>
  </si>
  <si>
    <t>Small_Biomass</t>
  </si>
  <si>
    <t>Medium_Biomass</t>
  </si>
  <si>
    <t>MediumLarge_Biomass</t>
  </si>
  <si>
    <t>Large_Biomass</t>
  </si>
  <si>
    <t>Actual_Holocene</t>
  </si>
  <si>
    <t>Actual_Pleistocene</t>
  </si>
  <si>
    <t>Small_mean</t>
  </si>
  <si>
    <t>Small_sd</t>
  </si>
  <si>
    <t>Medium_mean</t>
  </si>
  <si>
    <t>Medium_sd</t>
  </si>
  <si>
    <t>MediumLarge_mean</t>
  </si>
  <si>
    <t>MediumLarge_sd</t>
  </si>
  <si>
    <t>Large_mean</t>
  </si>
  <si>
    <t>Large_sd</t>
  </si>
  <si>
    <t>Scenario</t>
  </si>
  <si>
    <t>Predator</t>
  </si>
  <si>
    <t>CC</t>
  </si>
  <si>
    <t>Diet</t>
  </si>
  <si>
    <t>Pleistocene_Actual</t>
  </si>
  <si>
    <t>Homo.sapiens</t>
  </si>
  <si>
    <t>Holocene_Actual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</si>
</sst>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Fill="1"/>
    <xf numFmtId="1" fontId="0" fillId="0" borderId="0" xfId="0" applyNumberFormat="1" applyFill="1"/>
    <xf numFmtId="2" fontId="0" fillId="0" borderId="0" xfId="0" applyNumberFormat="1" applyFill="1"/>
    <xf numFmtId="164" fontId="0" fillId="0" borderId="0" xfId="0" applyNumberFormat="1" applyFill="1"/>
    <xf numFmtId="1" fontId="0" fillId="0" borderId="0" xfId="0" applyNumberFormat="1" applyFill="1" applyAlignment="1">
      <alignment horizontal="right"/>
    </xf>
    <xf numFmtId="2" fontId="1" fillId="0" borderId="0" xfId="0" applyNumberFormat="1" applyFont="1" applyFill="1"/>
    <xf numFmtId="1" fontId="0" fillId="0" borderId="0" xfId="0" applyNumberFormat="1" applyFill="1" applyAlignment="1">
      <alignment vertical="center"/>
    </xf>
    <xf numFmtId="165" fontId="0" fillId="0" borderId="0" xfId="0" applyNumberFormat="1" applyFill="1"/>
    <xf numFmtId="0" fontId="0" fillId="0" borderId="0" xfId="0" applyFill="1" applyAlignment="1">
      <alignment horizontal="right" vertical="center"/>
    </xf>
    <xf numFmtId="1" fontId="0" fillId="0" borderId="0" xfId="0" applyNumberFormat="1" applyFill="1" applyAlignment="1">
      <alignment horizontal="right" vertic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6"/>
  <sheetViews>
    <sheetView tabSelected="1" workbookViewId="0">
      <selection activeCell="G29" sqref="G29"/>
    </sheetView>
  </sheetViews>
  <sheetFormatPr baseColWidth="10" defaultRowHeight="15" x14ac:dyDescent="0.25"/>
  <cols>
    <col min="1" max="1" width="11.42578125" style="1"/>
    <col min="2" max="2" width="29.28515625" style="1" customWidth="1"/>
    <col min="3" max="16384" width="11.42578125" style="1"/>
  </cols>
  <sheetData>
    <row r="1" spans="1:13" x14ac:dyDescent="0.25">
      <c r="A1" s="1" t="s">
        <v>7</v>
      </c>
      <c r="B1" s="1" t="s">
        <v>8</v>
      </c>
      <c r="C1" s="1" t="s">
        <v>9</v>
      </c>
      <c r="D1" s="1" t="s">
        <v>10</v>
      </c>
      <c r="E1" s="1" t="s">
        <v>11</v>
      </c>
      <c r="G1" s="1" t="s">
        <v>12</v>
      </c>
      <c r="H1" s="1" t="s">
        <v>13</v>
      </c>
      <c r="I1" s="1" t="s">
        <v>14</v>
      </c>
      <c r="J1" s="1" t="s">
        <v>15</v>
      </c>
      <c r="K1" s="1" t="s">
        <v>16</v>
      </c>
    </row>
    <row r="2" spans="1:13" x14ac:dyDescent="0.25">
      <c r="A2" s="1" t="s">
        <v>17</v>
      </c>
      <c r="B2" s="1" t="s">
        <v>17</v>
      </c>
      <c r="C2" s="1">
        <v>1</v>
      </c>
      <c r="D2" s="2">
        <v>250.76059371284393</v>
      </c>
      <c r="E2" s="3">
        <v>0</v>
      </c>
      <c r="G2" s="1">
        <v>4.88</v>
      </c>
      <c r="H2" s="1">
        <v>15</v>
      </c>
      <c r="I2" s="1">
        <v>1</v>
      </c>
      <c r="J2" s="1">
        <v>110</v>
      </c>
      <c r="K2" s="1" t="s">
        <v>18</v>
      </c>
    </row>
    <row r="3" spans="1:13" x14ac:dyDescent="0.25">
      <c r="B3" s="1" t="s">
        <v>17</v>
      </c>
      <c r="C3" s="1">
        <v>2</v>
      </c>
      <c r="D3" s="2">
        <v>699.25373208396115</v>
      </c>
      <c r="E3" s="3">
        <v>0</v>
      </c>
    </row>
    <row r="4" spans="1:13" x14ac:dyDescent="0.25">
      <c r="B4" s="1" t="s">
        <v>17</v>
      </c>
      <c r="C4" s="1">
        <v>3</v>
      </c>
      <c r="D4" s="2">
        <v>1412.8042909207843</v>
      </c>
      <c r="E4" s="3">
        <v>0</v>
      </c>
      <c r="G4" s="1" t="s">
        <v>19</v>
      </c>
      <c r="H4" s="1" t="s">
        <v>20</v>
      </c>
      <c r="I4" s="1" t="s">
        <v>21</v>
      </c>
      <c r="J4" s="1" t="s">
        <v>22</v>
      </c>
      <c r="K4" s="1" t="s">
        <v>23</v>
      </c>
      <c r="L4" s="1" t="s">
        <v>24</v>
      </c>
      <c r="M4" s="1" t="s">
        <v>25</v>
      </c>
    </row>
    <row r="5" spans="1:13" x14ac:dyDescent="0.25">
      <c r="B5" s="1" t="s">
        <v>17</v>
      </c>
      <c r="C5" s="1">
        <v>4</v>
      </c>
      <c r="D5" s="2">
        <v>2278.3629956479053</v>
      </c>
      <c r="E5" s="3">
        <v>0</v>
      </c>
      <c r="G5" s="2">
        <v>6000</v>
      </c>
      <c r="H5" s="4">
        <v>101</v>
      </c>
      <c r="I5" s="1">
        <v>11.25</v>
      </c>
      <c r="J5" s="1">
        <v>1.1299999999999999</v>
      </c>
      <c r="K5" s="3">
        <v>0.24242424242424243</v>
      </c>
      <c r="L5" s="1">
        <v>65</v>
      </c>
      <c r="M5" s="1" t="s">
        <v>26</v>
      </c>
    </row>
    <row r="6" spans="1:13" x14ac:dyDescent="0.25">
      <c r="B6" s="1" t="s">
        <v>17</v>
      </c>
      <c r="C6" s="1">
        <v>5</v>
      </c>
      <c r="D6" s="2">
        <v>3144.4256900695209</v>
      </c>
      <c r="E6" s="3">
        <v>0</v>
      </c>
    </row>
    <row r="7" spans="1:13" x14ac:dyDescent="0.25">
      <c r="B7" s="1" t="s">
        <v>17</v>
      </c>
      <c r="C7" s="1">
        <v>6</v>
      </c>
      <c r="D7" s="2">
        <v>3902.4575472983529</v>
      </c>
      <c r="E7" s="3">
        <v>0</v>
      </c>
    </row>
    <row r="8" spans="1:13" x14ac:dyDescent="0.25">
      <c r="B8" s="1" t="s">
        <v>17</v>
      </c>
      <c r="C8" s="1">
        <v>7</v>
      </c>
      <c r="D8" s="2">
        <v>4507.8978369666138</v>
      </c>
      <c r="E8" s="3">
        <v>0</v>
      </c>
    </row>
    <row r="9" spans="1:13" x14ac:dyDescent="0.25">
      <c r="B9" s="1" t="s">
        <v>17</v>
      </c>
      <c r="C9" s="1">
        <v>8</v>
      </c>
      <c r="D9" s="2">
        <v>4962.418274616547</v>
      </c>
      <c r="E9" s="3">
        <v>0</v>
      </c>
    </row>
    <row r="10" spans="1:13" x14ac:dyDescent="0.25">
      <c r="B10" s="1" t="s">
        <v>17</v>
      </c>
      <c r="C10" s="1">
        <v>9</v>
      </c>
      <c r="D10" s="2">
        <v>5289.7295821745674</v>
      </c>
      <c r="E10" s="3">
        <v>0</v>
      </c>
    </row>
    <row r="11" spans="1:13" x14ac:dyDescent="0.25">
      <c r="B11" s="1" t="s">
        <v>17</v>
      </c>
      <c r="C11" s="1">
        <v>10</v>
      </c>
      <c r="D11" s="2">
        <v>5518.9650525124998</v>
      </c>
      <c r="E11" s="3">
        <v>0</v>
      </c>
    </row>
    <row r="12" spans="1:13" x14ac:dyDescent="0.25">
      <c r="B12" s="1" t="s">
        <v>17</v>
      </c>
      <c r="C12" s="1">
        <v>11</v>
      </c>
      <c r="D12" s="2">
        <v>5676.560920240644</v>
      </c>
      <c r="E12" s="3">
        <v>0</v>
      </c>
      <c r="I12" s="1" t="s">
        <v>27</v>
      </c>
    </row>
    <row r="13" spans="1:13" x14ac:dyDescent="0.25">
      <c r="B13" s="1" t="s">
        <v>17</v>
      </c>
      <c r="C13" s="1">
        <v>12</v>
      </c>
      <c r="D13" s="2">
        <v>5783.5764649273096</v>
      </c>
      <c r="E13" s="3">
        <v>0.10272727272727272</v>
      </c>
    </row>
    <row r="14" spans="1:13" x14ac:dyDescent="0.25">
      <c r="B14" s="1" t="s">
        <v>17</v>
      </c>
      <c r="C14" s="1">
        <v>13</v>
      </c>
      <c r="D14" s="2">
        <v>5855.6518434683157</v>
      </c>
      <c r="E14" s="3">
        <v>0.13696969696969696</v>
      </c>
    </row>
    <row r="15" spans="1:13" x14ac:dyDescent="0.25">
      <c r="B15" s="1" t="s">
        <v>17</v>
      </c>
      <c r="C15" s="1">
        <v>14</v>
      </c>
      <c r="D15" s="2">
        <v>5957.6098669275125</v>
      </c>
      <c r="E15" s="3">
        <v>0.13696969696969696</v>
      </c>
    </row>
    <row r="16" spans="1:13" x14ac:dyDescent="0.25">
      <c r="B16" s="1" t="s">
        <v>17</v>
      </c>
      <c r="C16" s="1">
        <v>15</v>
      </c>
      <c r="D16" s="2">
        <v>5971.8728922680484</v>
      </c>
      <c r="E16" s="3">
        <v>0.13696969696969696</v>
      </c>
    </row>
    <row r="17" spans="2:5" x14ac:dyDescent="0.25">
      <c r="B17" s="1" t="s">
        <v>17</v>
      </c>
      <c r="C17" s="1">
        <v>16</v>
      </c>
      <c r="D17" s="2">
        <v>5981.3446527534616</v>
      </c>
      <c r="E17" s="3">
        <v>0.13696969696969696</v>
      </c>
    </row>
    <row r="18" spans="2:5" x14ac:dyDescent="0.25">
      <c r="B18" s="1" t="s">
        <v>17</v>
      </c>
      <c r="C18" s="1">
        <v>17</v>
      </c>
      <c r="D18" s="2">
        <v>5987.6302511363228</v>
      </c>
      <c r="E18" s="3">
        <v>0.13696969696969696</v>
      </c>
    </row>
    <row r="19" spans="2:5" x14ac:dyDescent="0.25">
      <c r="B19" s="1" t="s">
        <v>17</v>
      </c>
      <c r="C19" s="1">
        <v>18</v>
      </c>
      <c r="D19" s="2">
        <v>5991.7995366122796</v>
      </c>
      <c r="E19" s="3">
        <v>0.13696969696969696</v>
      </c>
    </row>
    <row r="20" spans="2:5" x14ac:dyDescent="0.25">
      <c r="B20" s="1" t="s">
        <v>17</v>
      </c>
      <c r="C20" s="1">
        <v>19</v>
      </c>
      <c r="D20" s="2">
        <v>5994.5642077332177</v>
      </c>
      <c r="E20" s="3">
        <v>0.13696969696969696</v>
      </c>
    </row>
    <row r="21" spans="2:5" x14ac:dyDescent="0.25">
      <c r="B21" s="1" t="s">
        <v>17</v>
      </c>
      <c r="C21" s="1">
        <v>20</v>
      </c>
      <c r="D21" s="2">
        <v>5996.3971005409039</v>
      </c>
      <c r="E21" s="3">
        <v>0.13696969696969696</v>
      </c>
    </row>
    <row r="22" spans="2:5" x14ac:dyDescent="0.25">
      <c r="B22" s="1" t="s">
        <v>17</v>
      </c>
      <c r="C22" s="1">
        <v>21</v>
      </c>
      <c r="D22" s="2">
        <v>5997.6120890496559</v>
      </c>
      <c r="E22" s="3">
        <v>0.13696969696969696</v>
      </c>
    </row>
    <row r="23" spans="2:5" x14ac:dyDescent="0.25">
      <c r="B23" s="1" t="s">
        <v>17</v>
      </c>
      <c r="C23" s="1">
        <v>22</v>
      </c>
      <c r="D23" s="2">
        <v>5998.4174091013019</v>
      </c>
      <c r="E23" s="3">
        <v>0.13696969696969696</v>
      </c>
    </row>
    <row r="24" spans="2:5" x14ac:dyDescent="0.25">
      <c r="B24" s="1" t="s">
        <v>17</v>
      </c>
      <c r="C24" s="1">
        <v>23</v>
      </c>
      <c r="D24" s="2">
        <v>5998.9511606735723</v>
      </c>
      <c r="E24" s="3">
        <v>0.13696969696969696</v>
      </c>
    </row>
    <row r="25" spans="2:5" x14ac:dyDescent="0.25">
      <c r="B25" s="1" t="s">
        <v>17</v>
      </c>
      <c r="C25" s="1">
        <v>24</v>
      </c>
      <c r="D25" s="2">
        <v>5999.3049077004162</v>
      </c>
      <c r="E25" s="3">
        <v>0.13696969696969696</v>
      </c>
    </row>
    <row r="26" spans="2:5" x14ac:dyDescent="0.25">
      <c r="B26" s="1" t="s">
        <v>17</v>
      </c>
      <c r="C26" s="1">
        <v>25</v>
      </c>
      <c r="D26" s="2">
        <v>5999.5393495547478</v>
      </c>
      <c r="E26" s="3">
        <v>0.13696969696969696</v>
      </c>
    </row>
    <row r="27" spans="2:5" x14ac:dyDescent="0.25">
      <c r="B27" s="1" t="s">
        <v>17</v>
      </c>
      <c r="C27" s="1">
        <v>26</v>
      </c>
      <c r="D27" s="2">
        <v>5999.6947205761317</v>
      </c>
      <c r="E27" s="3">
        <v>0.13696969696969696</v>
      </c>
    </row>
    <row r="28" spans="2:5" x14ac:dyDescent="0.25">
      <c r="B28" s="1" t="s">
        <v>17</v>
      </c>
      <c r="C28" s="1">
        <v>27</v>
      </c>
      <c r="D28" s="2">
        <v>5999.7976880217284</v>
      </c>
      <c r="E28" s="3">
        <v>0.13696969696969696</v>
      </c>
    </row>
    <row r="29" spans="2:5" x14ac:dyDescent="0.25">
      <c r="B29" s="1" t="s">
        <v>17</v>
      </c>
      <c r="C29" s="1">
        <v>28</v>
      </c>
      <c r="D29" s="2">
        <v>5999.8659260663726</v>
      </c>
      <c r="E29" s="3">
        <v>0.13696969696969696</v>
      </c>
    </row>
    <row r="30" spans="2:5" x14ac:dyDescent="0.25">
      <c r="B30" s="1" t="s">
        <v>17</v>
      </c>
      <c r="C30" s="1">
        <v>29</v>
      </c>
      <c r="D30" s="2">
        <v>5999.9111481982709</v>
      </c>
      <c r="E30" s="3">
        <v>0.13696969696969696</v>
      </c>
    </row>
    <row r="31" spans="2:5" x14ac:dyDescent="0.25">
      <c r="B31" s="1" t="s">
        <v>17</v>
      </c>
      <c r="C31" s="1">
        <v>30</v>
      </c>
      <c r="D31" s="2">
        <v>5999.9411173222952</v>
      </c>
      <c r="E31" s="3">
        <v>0.13696969696969696</v>
      </c>
    </row>
    <row r="32" spans="2:5" x14ac:dyDescent="0.25">
      <c r="B32" s="1" t="s">
        <v>17</v>
      </c>
      <c r="C32" s="1">
        <v>31</v>
      </c>
      <c r="D32" s="2">
        <v>5999.9609780935734</v>
      </c>
      <c r="E32" s="3">
        <v>0.13696969696969696</v>
      </c>
    </row>
    <row r="33" spans="2:5" x14ac:dyDescent="0.25">
      <c r="B33" s="1" t="s">
        <v>17</v>
      </c>
      <c r="C33" s="1">
        <v>32</v>
      </c>
      <c r="D33" s="2">
        <v>5999.9741399617769</v>
      </c>
      <c r="E33" s="3">
        <v>0.13696969696969696</v>
      </c>
    </row>
    <row r="34" spans="2:5" x14ac:dyDescent="0.25">
      <c r="B34" s="1" t="s">
        <v>17</v>
      </c>
      <c r="C34" s="1">
        <v>33</v>
      </c>
      <c r="D34" s="2">
        <v>5999.9828624129232</v>
      </c>
      <c r="E34" s="3">
        <v>0.13696969696969696</v>
      </c>
    </row>
    <row r="35" spans="2:5" x14ac:dyDescent="0.25">
      <c r="B35" s="1" t="s">
        <v>17</v>
      </c>
      <c r="C35" s="1">
        <v>34</v>
      </c>
      <c r="D35" s="2">
        <v>5999.9886428313312</v>
      </c>
      <c r="E35" s="3">
        <v>0.13696969696969696</v>
      </c>
    </row>
    <row r="36" spans="2:5" x14ac:dyDescent="0.25">
      <c r="B36" s="1" t="s">
        <v>17</v>
      </c>
      <c r="C36" s="1">
        <v>35</v>
      </c>
      <c r="D36" s="2">
        <v>5999.9924735461436</v>
      </c>
      <c r="E36" s="3">
        <v>0.13696969696969696</v>
      </c>
    </row>
    <row r="37" spans="2:5" x14ac:dyDescent="0.25">
      <c r="B37" s="1" t="s">
        <v>17</v>
      </c>
      <c r="C37" s="1">
        <v>36</v>
      </c>
      <c r="D37" s="2">
        <v>5999.9950121810334</v>
      </c>
      <c r="E37" s="3">
        <v>0.13696969696969696</v>
      </c>
    </row>
    <row r="38" spans="2:5" x14ac:dyDescent="0.25">
      <c r="B38" s="1" t="s">
        <v>17</v>
      </c>
      <c r="C38" s="1">
        <v>37</v>
      </c>
      <c r="D38" s="2">
        <v>5999.9966945474353</v>
      </c>
      <c r="E38" s="3">
        <v>0.13696969696969696</v>
      </c>
    </row>
    <row r="39" spans="2:5" x14ac:dyDescent="0.25">
      <c r="B39" s="1" t="s">
        <v>17</v>
      </c>
      <c r="C39" s="1">
        <v>38</v>
      </c>
      <c r="D39" s="2">
        <v>5999.9978094601684</v>
      </c>
      <c r="E39" s="3">
        <v>0.13696969696969696</v>
      </c>
    </row>
    <row r="40" spans="2:5" x14ac:dyDescent="0.25">
      <c r="B40" s="1" t="s">
        <v>17</v>
      </c>
      <c r="C40" s="1">
        <v>39</v>
      </c>
      <c r="D40" s="2">
        <v>5999.9985483184219</v>
      </c>
      <c r="E40" s="3">
        <v>0.13696969696969696</v>
      </c>
    </row>
    <row r="41" spans="2:5" x14ac:dyDescent="0.25">
      <c r="B41" s="1" t="s">
        <v>17</v>
      </c>
      <c r="C41" s="1">
        <v>40</v>
      </c>
      <c r="D41" s="2">
        <v>5999.999037963461</v>
      </c>
      <c r="E41" s="3">
        <v>0.13696969696969696</v>
      </c>
    </row>
    <row r="42" spans="2:5" x14ac:dyDescent="0.25">
      <c r="B42" s="1" t="s">
        <v>17</v>
      </c>
      <c r="C42" s="1">
        <v>41</v>
      </c>
      <c r="D42" s="2">
        <v>5999.999362453651</v>
      </c>
      <c r="E42" s="3">
        <v>0.13696969696969696</v>
      </c>
    </row>
    <row r="43" spans="2:5" x14ac:dyDescent="0.25">
      <c r="B43" s="1" t="s">
        <v>17</v>
      </c>
      <c r="C43" s="1">
        <v>42</v>
      </c>
      <c r="D43" s="2">
        <v>5999.9995774949002</v>
      </c>
      <c r="E43" s="3">
        <v>0.13696969696969696</v>
      </c>
    </row>
    <row r="44" spans="2:5" x14ac:dyDescent="0.25">
      <c r="B44" s="1" t="s">
        <v>17</v>
      </c>
      <c r="C44" s="1">
        <v>43</v>
      </c>
      <c r="D44" s="2">
        <v>5999.9997200037969</v>
      </c>
      <c r="E44" s="3">
        <v>0.13696969696969696</v>
      </c>
    </row>
    <row r="45" spans="2:5" x14ac:dyDescent="0.25">
      <c r="B45" s="1" t="s">
        <v>17</v>
      </c>
      <c r="C45" s="1">
        <v>44</v>
      </c>
      <c r="D45" s="2">
        <v>5999.999814445142</v>
      </c>
      <c r="E45" s="3">
        <v>0.13696969696969696</v>
      </c>
    </row>
    <row r="46" spans="2:5" x14ac:dyDescent="0.25">
      <c r="B46" s="1" t="s">
        <v>17</v>
      </c>
      <c r="C46" s="1">
        <v>45</v>
      </c>
      <c r="D46" s="2">
        <v>5999.9998770318853</v>
      </c>
      <c r="E46" s="3">
        <v>0.13696969696969696</v>
      </c>
    </row>
    <row r="47" spans="2:5" x14ac:dyDescent="0.25">
      <c r="B47" s="1" t="s">
        <v>17</v>
      </c>
      <c r="C47" s="1">
        <v>46</v>
      </c>
      <c r="D47" s="2">
        <v>5999.9999185084271</v>
      </c>
      <c r="E47" s="3">
        <v>0.13696969696969696</v>
      </c>
    </row>
    <row r="48" spans="2:5" x14ac:dyDescent="0.25">
      <c r="B48" s="1" t="s">
        <v>17</v>
      </c>
      <c r="C48" s="1">
        <v>47</v>
      </c>
      <c r="D48" s="2">
        <v>5999.999945995135</v>
      </c>
      <c r="E48" s="3">
        <v>0.13696969696969696</v>
      </c>
    </row>
    <row r="49" spans="2:5" x14ac:dyDescent="0.25">
      <c r="B49" s="1" t="s">
        <v>17</v>
      </c>
      <c r="C49" s="1">
        <v>48</v>
      </c>
      <c r="D49" s="2">
        <v>5999.9999642107114</v>
      </c>
      <c r="E49" s="3">
        <v>0.13696969696969696</v>
      </c>
    </row>
    <row r="50" spans="2:5" x14ac:dyDescent="0.25">
      <c r="B50" s="1" t="s">
        <v>17</v>
      </c>
      <c r="C50" s="1">
        <v>49</v>
      </c>
      <c r="D50" s="2">
        <v>5999.9999762822636</v>
      </c>
      <c r="E50" s="3">
        <v>0.13696969696969696</v>
      </c>
    </row>
    <row r="51" spans="2:5" x14ac:dyDescent="0.25">
      <c r="B51" s="1" t="s">
        <v>17</v>
      </c>
      <c r="C51" s="1">
        <v>50</v>
      </c>
      <c r="D51" s="2">
        <v>5999.9999842821398</v>
      </c>
      <c r="E51" s="3">
        <v>0.13696969696969696</v>
      </c>
    </row>
    <row r="52" spans="2:5" x14ac:dyDescent="0.25">
      <c r="B52" s="1" t="s">
        <v>17</v>
      </c>
      <c r="C52" s="1">
        <v>51</v>
      </c>
      <c r="D52" s="2">
        <v>5999.9999895836972</v>
      </c>
      <c r="E52" s="3">
        <v>0.13696969696969696</v>
      </c>
    </row>
    <row r="53" spans="2:5" x14ac:dyDescent="0.25">
      <c r="B53" s="1" t="s">
        <v>17</v>
      </c>
      <c r="C53" s="1">
        <v>52</v>
      </c>
      <c r="D53" s="2">
        <v>5999.9999930970653</v>
      </c>
      <c r="E53" s="3">
        <v>0.13696969696969696</v>
      </c>
    </row>
    <row r="54" spans="2:5" x14ac:dyDescent="0.25">
      <c r="B54" s="1" t="s">
        <v>17</v>
      </c>
      <c r="C54" s="1">
        <v>53</v>
      </c>
      <c r="D54" s="2">
        <v>5999.9999954253908</v>
      </c>
      <c r="E54" s="3">
        <v>0.13696969696969696</v>
      </c>
    </row>
    <row r="55" spans="2:5" x14ac:dyDescent="0.25">
      <c r="B55" s="1" t="s">
        <v>17</v>
      </c>
      <c r="C55" s="1">
        <v>54</v>
      </c>
      <c r="D55" s="2">
        <v>5999.9999969683849</v>
      </c>
      <c r="E55" s="3">
        <v>0.13696969696969696</v>
      </c>
    </row>
    <row r="56" spans="2:5" x14ac:dyDescent="0.25">
      <c r="B56" s="1" t="s">
        <v>17</v>
      </c>
      <c r="C56" s="1">
        <v>55</v>
      </c>
      <c r="D56" s="2">
        <v>5999.9999979909335</v>
      </c>
      <c r="E56" s="3">
        <v>0.13696969696969696</v>
      </c>
    </row>
    <row r="57" spans="2:5" x14ac:dyDescent="0.25">
      <c r="B57" s="1" t="s">
        <v>17</v>
      </c>
      <c r="C57" s="1">
        <v>56</v>
      </c>
      <c r="D57" s="2">
        <v>5999.9999986685816</v>
      </c>
      <c r="E57" s="3">
        <v>0.13696969696969696</v>
      </c>
    </row>
    <row r="58" spans="2:5" x14ac:dyDescent="0.25">
      <c r="B58" s="1" t="s">
        <v>17</v>
      </c>
      <c r="C58" s="1">
        <v>57</v>
      </c>
      <c r="D58" s="2">
        <v>5999.9999991176628</v>
      </c>
      <c r="E58" s="3">
        <v>0.13696969696969696</v>
      </c>
    </row>
    <row r="59" spans="2:5" x14ac:dyDescent="0.25">
      <c r="B59" s="1" t="s">
        <v>17</v>
      </c>
      <c r="C59" s="1">
        <v>58</v>
      </c>
      <c r="D59" s="2">
        <v>5999.9999994152713</v>
      </c>
      <c r="E59" s="3">
        <v>0.13696969696969696</v>
      </c>
    </row>
    <row r="60" spans="2:5" x14ac:dyDescent="0.25">
      <c r="B60" s="1" t="s">
        <v>17</v>
      </c>
      <c r="C60" s="1">
        <v>59</v>
      </c>
      <c r="D60" s="2">
        <v>5999.999999612497</v>
      </c>
      <c r="E60" s="3">
        <v>0.13696969696969696</v>
      </c>
    </row>
    <row r="61" spans="2:5" x14ac:dyDescent="0.25">
      <c r="B61" s="1" t="s">
        <v>17</v>
      </c>
      <c r="C61" s="1">
        <v>60</v>
      </c>
      <c r="D61" s="2">
        <v>5999.9999997431996</v>
      </c>
      <c r="E61" s="3">
        <v>0.13696969696969696</v>
      </c>
    </row>
    <row r="62" spans="2:5" x14ac:dyDescent="0.25">
      <c r="B62" s="1" t="s">
        <v>17</v>
      </c>
      <c r="C62" s="1">
        <v>61</v>
      </c>
      <c r="D62" s="2">
        <v>5999.9999998298172</v>
      </c>
      <c r="E62" s="3">
        <v>0.13696969696969696</v>
      </c>
    </row>
    <row r="63" spans="2:5" x14ac:dyDescent="0.25">
      <c r="B63" s="1" t="s">
        <v>17</v>
      </c>
      <c r="C63" s="1">
        <v>62</v>
      </c>
      <c r="D63" s="2">
        <v>5999.999999887219</v>
      </c>
      <c r="E63" s="3">
        <v>0.13696969696969696</v>
      </c>
    </row>
    <row r="64" spans="2:5" x14ac:dyDescent="0.25">
      <c r="B64" s="1" t="s">
        <v>17</v>
      </c>
      <c r="C64" s="1">
        <v>63</v>
      </c>
      <c r="D64" s="2">
        <v>5999.9999999252595</v>
      </c>
      <c r="E64" s="3">
        <v>0.13696969696969696</v>
      </c>
    </row>
    <row r="65" spans="2:5" x14ac:dyDescent="0.25">
      <c r="B65" s="1" t="s">
        <v>17</v>
      </c>
      <c r="C65" s="1">
        <v>64</v>
      </c>
      <c r="D65" s="2">
        <v>5999.9999999504689</v>
      </c>
      <c r="E65" s="3">
        <v>0.13696969696969696</v>
      </c>
    </row>
    <row r="66" spans="2:5" x14ac:dyDescent="0.25">
      <c r="B66" s="1" t="s">
        <v>17</v>
      </c>
      <c r="C66" s="1">
        <v>65</v>
      </c>
      <c r="D66" s="2">
        <v>5999.9999999671754</v>
      </c>
      <c r="E66" s="3">
        <v>0.13696969696969696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6"/>
  <sheetViews>
    <sheetView workbookViewId="0">
      <selection sqref="A1:XFD1048576"/>
    </sheetView>
  </sheetViews>
  <sheetFormatPr baseColWidth="10" defaultRowHeight="15" x14ac:dyDescent="0.25"/>
  <cols>
    <col min="1" max="16384" width="11.42578125" style="1"/>
  </cols>
  <sheetData>
    <row r="1" spans="1:13" x14ac:dyDescent="0.25">
      <c r="A1" s="1" t="s">
        <v>7</v>
      </c>
      <c r="B1" s="1" t="s">
        <v>8</v>
      </c>
      <c r="C1" s="1" t="s">
        <v>9</v>
      </c>
      <c r="D1" s="1" t="s">
        <v>10</v>
      </c>
      <c r="E1" s="1" t="s">
        <v>11</v>
      </c>
      <c r="F1" s="1" t="s">
        <v>28</v>
      </c>
      <c r="G1" s="1" t="s">
        <v>29</v>
      </c>
      <c r="H1" s="1" t="s">
        <v>30</v>
      </c>
      <c r="I1" s="1" t="s">
        <v>31</v>
      </c>
      <c r="J1" s="1" t="s">
        <v>32</v>
      </c>
      <c r="K1" s="1" t="s">
        <v>16</v>
      </c>
    </row>
    <row r="2" spans="1:13" x14ac:dyDescent="0.25">
      <c r="A2" s="1" t="s">
        <v>33</v>
      </c>
      <c r="B2" s="1" t="s">
        <v>33</v>
      </c>
      <c r="C2" s="3">
        <v>1</v>
      </c>
      <c r="D2" s="2">
        <v>120.39572059598729</v>
      </c>
      <c r="E2" s="3">
        <v>0</v>
      </c>
      <c r="F2" s="1">
        <v>950</v>
      </c>
      <c r="G2" s="1">
        <f>-0.0013*F2+2.375</f>
        <v>1.1400000000000001</v>
      </c>
      <c r="H2" s="1">
        <f>-0.00001*(F2^2)+0.0137*F2+0.5215</f>
        <v>4.5114999999999998</v>
      </c>
      <c r="I2" s="1">
        <v>1</v>
      </c>
      <c r="J2" s="1">
        <f>7.255*EXP(0.0028*F2)</f>
        <v>103.71957741090601</v>
      </c>
      <c r="K2" s="1" t="s">
        <v>18</v>
      </c>
    </row>
    <row r="3" spans="1:13" x14ac:dyDescent="0.25">
      <c r="B3" s="1" t="s">
        <v>33</v>
      </c>
      <c r="C3" s="3">
        <v>2</v>
      </c>
      <c r="D3" s="2">
        <v>323.49161656709873</v>
      </c>
      <c r="E3" s="3">
        <v>0</v>
      </c>
    </row>
    <row r="4" spans="1:13" x14ac:dyDescent="0.25">
      <c r="B4" s="1" t="s">
        <v>33</v>
      </c>
      <c r="C4" s="3">
        <v>3</v>
      </c>
      <c r="D4" s="2">
        <v>551.19053275688964</v>
      </c>
      <c r="E4" s="3">
        <v>0.17207582750235717</v>
      </c>
      <c r="G4" s="1" t="s">
        <v>19</v>
      </c>
      <c r="H4" s="1" t="s">
        <v>20</v>
      </c>
      <c r="I4" s="1" t="s">
        <v>21</v>
      </c>
      <c r="J4" s="1" t="s">
        <v>22</v>
      </c>
      <c r="K4" s="1" t="s">
        <v>23</v>
      </c>
      <c r="L4" s="1" t="s">
        <v>24</v>
      </c>
      <c r="M4" s="1" t="s">
        <v>25</v>
      </c>
    </row>
    <row r="5" spans="1:13" x14ac:dyDescent="0.25">
      <c r="B5" s="1" t="s">
        <v>33</v>
      </c>
      <c r="C5" s="3">
        <v>4</v>
      </c>
      <c r="D5" s="2">
        <v>725.0665206774479</v>
      </c>
      <c r="E5" s="3">
        <v>0.45283112500620321</v>
      </c>
      <c r="G5" s="2">
        <v>950</v>
      </c>
      <c r="H5" s="4">
        <v>39.477395801540446</v>
      </c>
      <c r="I5" s="1">
        <v>2.62</v>
      </c>
      <c r="J5" s="1">
        <v>1</v>
      </c>
      <c r="K5" s="3">
        <v>0.90566225001240641</v>
      </c>
      <c r="L5" s="1">
        <v>25</v>
      </c>
      <c r="M5" s="1" t="s">
        <v>26</v>
      </c>
    </row>
    <row r="6" spans="1:13" x14ac:dyDescent="0.25">
      <c r="B6" s="1" t="s">
        <v>33</v>
      </c>
      <c r="C6" s="3">
        <v>5</v>
      </c>
      <c r="D6" s="2">
        <v>831.7585491495463</v>
      </c>
      <c r="E6" s="3">
        <v>0.45283112500620321</v>
      </c>
    </row>
    <row r="7" spans="1:13" x14ac:dyDescent="0.25">
      <c r="B7" s="1" t="s">
        <v>33</v>
      </c>
      <c r="C7" s="3">
        <v>6</v>
      </c>
      <c r="D7" s="2">
        <v>890.12034818354994</v>
      </c>
      <c r="E7" s="3">
        <v>0.45283112500620321</v>
      </c>
    </row>
    <row r="8" spans="1:13" x14ac:dyDescent="0.25">
      <c r="B8" s="1" t="s">
        <v>33</v>
      </c>
      <c r="C8" s="3">
        <v>7</v>
      </c>
      <c r="D8" s="2">
        <v>920.24476631583275</v>
      </c>
      <c r="E8" s="3">
        <v>0.45283112500620321</v>
      </c>
    </row>
    <row r="9" spans="1:13" x14ac:dyDescent="0.25">
      <c r="B9" s="1" t="s">
        <v>33</v>
      </c>
      <c r="C9" s="3">
        <v>8</v>
      </c>
      <c r="D9" s="2">
        <v>935.35270057525133</v>
      </c>
      <c r="E9" s="3">
        <v>0.45283112500620321</v>
      </c>
    </row>
    <row r="10" spans="1:13" x14ac:dyDescent="0.25">
      <c r="B10" s="1" t="s">
        <v>33</v>
      </c>
      <c r="C10" s="3">
        <v>9</v>
      </c>
      <c r="D10" s="2">
        <v>942.82308051370705</v>
      </c>
      <c r="E10" s="3">
        <v>0.45283112500620321</v>
      </c>
    </row>
    <row r="11" spans="1:13" x14ac:dyDescent="0.25">
      <c r="B11" s="1" t="s">
        <v>33</v>
      </c>
      <c r="C11" s="3">
        <v>10</v>
      </c>
      <c r="D11" s="2">
        <v>946.49141618277292</v>
      </c>
      <c r="E11" s="3">
        <v>0.45283112500620321</v>
      </c>
    </row>
    <row r="12" spans="1:13" x14ac:dyDescent="0.25">
      <c r="B12" s="1" t="s">
        <v>33</v>
      </c>
      <c r="C12" s="3">
        <v>11</v>
      </c>
      <c r="D12" s="2">
        <v>948.28666123587129</v>
      </c>
      <c r="E12" s="3">
        <v>0.45283112500620321</v>
      </c>
    </row>
    <row r="13" spans="1:13" x14ac:dyDescent="0.25">
      <c r="B13" s="1" t="s">
        <v>33</v>
      </c>
      <c r="C13" s="3">
        <v>12</v>
      </c>
      <c r="D13" s="2">
        <v>949.16378287847181</v>
      </c>
      <c r="E13" s="3">
        <v>0.45283112500620321</v>
      </c>
    </row>
    <row r="14" spans="1:13" x14ac:dyDescent="0.25">
      <c r="B14" s="1" t="s">
        <v>33</v>
      </c>
      <c r="C14" s="3">
        <v>13</v>
      </c>
      <c r="D14" s="2">
        <v>949.59198146105348</v>
      </c>
      <c r="E14" s="3">
        <v>0.45283112500620321</v>
      </c>
    </row>
    <row r="15" spans="1:13" x14ac:dyDescent="0.25">
      <c r="B15" s="1" t="s">
        <v>33</v>
      </c>
      <c r="C15" s="3">
        <v>14</v>
      </c>
      <c r="D15" s="2">
        <v>949.80093970763858</v>
      </c>
      <c r="E15" s="3">
        <v>0.45283112500620321</v>
      </c>
    </row>
    <row r="16" spans="1:13" x14ac:dyDescent="0.25">
      <c r="B16" s="1" t="s">
        <v>33</v>
      </c>
      <c r="C16" s="3">
        <v>15</v>
      </c>
      <c r="D16" s="2">
        <v>949.90289043485211</v>
      </c>
      <c r="E16" s="3">
        <v>0.45283112500620321</v>
      </c>
    </row>
    <row r="17" spans="2:5" x14ac:dyDescent="0.25">
      <c r="B17" s="1" t="s">
        <v>33</v>
      </c>
      <c r="C17" s="3">
        <v>16</v>
      </c>
      <c r="D17" s="2">
        <v>949.95262753001793</v>
      </c>
      <c r="E17" s="3">
        <v>0.45283112500620321</v>
      </c>
    </row>
    <row r="18" spans="2:5" x14ac:dyDescent="0.25">
      <c r="B18" s="1" t="s">
        <v>33</v>
      </c>
      <c r="C18" s="3">
        <v>17</v>
      </c>
      <c r="D18" s="2">
        <v>949.97689087318997</v>
      </c>
      <c r="E18" s="3">
        <v>0.45283112500620321</v>
      </c>
    </row>
    <row r="19" spans="2:5" x14ac:dyDescent="0.25">
      <c r="B19" s="1" t="s">
        <v>33</v>
      </c>
      <c r="C19" s="3">
        <v>18</v>
      </c>
      <c r="D19" s="2">
        <v>949.98872704262419</v>
      </c>
      <c r="E19" s="3">
        <v>0.45283112500620321</v>
      </c>
    </row>
    <row r="20" spans="2:5" x14ac:dyDescent="0.25">
      <c r="B20" s="1" t="s">
        <v>33</v>
      </c>
      <c r="C20" s="3">
        <v>19</v>
      </c>
      <c r="D20" s="2">
        <v>949.99450091232313</v>
      </c>
      <c r="E20" s="3">
        <v>0.45283112500620321</v>
      </c>
    </row>
    <row r="21" spans="2:5" x14ac:dyDescent="0.25">
      <c r="B21" s="1" t="s">
        <v>33</v>
      </c>
      <c r="C21" s="3">
        <v>20</v>
      </c>
      <c r="D21" s="2">
        <v>949.99731748186196</v>
      </c>
      <c r="E21" s="3">
        <v>0.45283112500620321</v>
      </c>
    </row>
    <row r="22" spans="2:5" x14ac:dyDescent="0.25">
      <c r="B22" s="1" t="s">
        <v>33</v>
      </c>
      <c r="C22" s="3">
        <v>21</v>
      </c>
      <c r="D22" s="2">
        <v>949.99869143794876</v>
      </c>
      <c r="E22" s="3">
        <v>0.45283112500620321</v>
      </c>
    </row>
    <row r="23" spans="2:5" x14ac:dyDescent="0.25">
      <c r="B23" s="1" t="s">
        <v>33</v>
      </c>
      <c r="C23" s="3">
        <v>22</v>
      </c>
      <c r="D23" s="2">
        <v>949.99936166920622</v>
      </c>
      <c r="E23" s="3">
        <v>0.45283112500620321</v>
      </c>
    </row>
    <row r="24" spans="2:5" x14ac:dyDescent="0.25">
      <c r="B24" s="1" t="s">
        <v>33</v>
      </c>
      <c r="C24" s="3">
        <v>23</v>
      </c>
      <c r="D24" s="2">
        <v>949.9996886153624</v>
      </c>
      <c r="E24" s="3">
        <v>0.45283112500620321</v>
      </c>
    </row>
    <row r="25" spans="2:5" x14ac:dyDescent="0.25">
      <c r="B25" s="1" t="s">
        <v>33</v>
      </c>
      <c r="C25" s="3">
        <v>24</v>
      </c>
      <c r="D25" s="2">
        <v>949.9998481032344</v>
      </c>
      <c r="E25" s="3">
        <v>0.45283112500620321</v>
      </c>
    </row>
    <row r="26" spans="2:5" x14ac:dyDescent="0.25">
      <c r="B26" s="1" t="s">
        <v>33</v>
      </c>
      <c r="C26" s="3">
        <v>25</v>
      </c>
      <c r="D26" s="2">
        <v>949.99992590313229</v>
      </c>
      <c r="E26" s="3">
        <v>0.45283112500620321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6"/>
  <sheetViews>
    <sheetView workbookViewId="0">
      <selection sqref="A1:XFD1048576"/>
    </sheetView>
  </sheetViews>
  <sheetFormatPr baseColWidth="10" defaultRowHeight="15" x14ac:dyDescent="0.25"/>
  <cols>
    <col min="1" max="16384" width="11.42578125" style="1"/>
  </cols>
  <sheetData>
    <row r="1" spans="1:13" x14ac:dyDescent="0.25">
      <c r="A1" s="1" t="s">
        <v>7</v>
      </c>
      <c r="B1" s="1" t="s">
        <v>8</v>
      </c>
      <c r="C1" s="1" t="s">
        <v>9</v>
      </c>
      <c r="D1" s="1" t="s">
        <v>10</v>
      </c>
      <c r="E1" s="1" t="s">
        <v>11</v>
      </c>
      <c r="F1" s="1" t="s">
        <v>28</v>
      </c>
      <c r="G1" s="1" t="s">
        <v>29</v>
      </c>
      <c r="H1" s="1" t="s">
        <v>30</v>
      </c>
      <c r="I1" s="1" t="s">
        <v>31</v>
      </c>
      <c r="J1" s="1" t="s">
        <v>32</v>
      </c>
      <c r="K1" s="1" t="s">
        <v>16</v>
      </c>
    </row>
    <row r="2" spans="1:13" x14ac:dyDescent="0.25">
      <c r="A2" s="1" t="s">
        <v>34</v>
      </c>
      <c r="B2" s="1" t="s">
        <v>34</v>
      </c>
      <c r="C2" s="3">
        <v>1</v>
      </c>
      <c r="D2" s="2">
        <v>116.27934526599356</v>
      </c>
      <c r="E2" s="3">
        <v>0</v>
      </c>
      <c r="F2" s="1">
        <v>900</v>
      </c>
      <c r="G2" s="1">
        <f>-0.0013*F2+2.375</f>
        <v>1.2050000000000001</v>
      </c>
      <c r="H2" s="1">
        <f>-0.00001*(F2^2)+0.0137*F2+0.5215</f>
        <v>4.7514999999999983</v>
      </c>
      <c r="I2" s="1">
        <v>1</v>
      </c>
      <c r="J2" s="1">
        <f>7.255*EXP(0.0028*F2)</f>
        <v>90.169468794255081</v>
      </c>
      <c r="K2" s="1" t="s">
        <v>18</v>
      </c>
    </row>
    <row r="3" spans="1:13" x14ac:dyDescent="0.25">
      <c r="B3" s="1" t="s">
        <v>34</v>
      </c>
      <c r="C3" s="3">
        <v>2</v>
      </c>
      <c r="D3" s="2">
        <v>312.67282032224023</v>
      </c>
      <c r="E3" s="3">
        <v>0</v>
      </c>
    </row>
    <row r="4" spans="1:13" x14ac:dyDescent="0.25">
      <c r="B4" s="1" t="s">
        <v>34</v>
      </c>
      <c r="C4" s="3">
        <v>3</v>
      </c>
      <c r="D4" s="2">
        <v>530.57750365055392</v>
      </c>
      <c r="E4" s="3">
        <v>0.17207582750235717</v>
      </c>
      <c r="G4" s="1" t="s">
        <v>19</v>
      </c>
      <c r="H4" s="1" t="s">
        <v>20</v>
      </c>
      <c r="I4" s="1" t="s">
        <v>21</v>
      </c>
      <c r="J4" s="1" t="s">
        <v>22</v>
      </c>
      <c r="K4" s="1" t="s">
        <v>23</v>
      </c>
      <c r="L4" s="1" t="s">
        <v>24</v>
      </c>
      <c r="M4" s="1" t="s">
        <v>25</v>
      </c>
    </row>
    <row r="5" spans="1:13" x14ac:dyDescent="0.25">
      <c r="B5" s="1" t="s">
        <v>34</v>
      </c>
      <c r="C5" s="3">
        <v>4</v>
      </c>
      <c r="D5" s="2">
        <v>694.46559311224985</v>
      </c>
      <c r="E5" s="3">
        <v>0.45283112500620321</v>
      </c>
      <c r="G5" s="2">
        <v>900</v>
      </c>
      <c r="H5" s="4">
        <v>37.666083770255355</v>
      </c>
      <c r="I5" s="1">
        <v>2.62</v>
      </c>
      <c r="J5" s="1">
        <v>1</v>
      </c>
      <c r="K5" s="3">
        <v>0.90566225001240641</v>
      </c>
      <c r="L5" s="1">
        <v>25</v>
      </c>
      <c r="M5" s="1" t="s">
        <v>26</v>
      </c>
    </row>
    <row r="6" spans="1:13" x14ac:dyDescent="0.25">
      <c r="B6" s="1" t="s">
        <v>34</v>
      </c>
      <c r="C6" s="3">
        <v>5</v>
      </c>
      <c r="D6" s="2">
        <v>793.42469597155628</v>
      </c>
      <c r="E6" s="3">
        <v>0.45283112500620321</v>
      </c>
    </row>
    <row r="7" spans="1:13" x14ac:dyDescent="0.25">
      <c r="B7" s="1" t="s">
        <v>34</v>
      </c>
      <c r="C7" s="3">
        <v>6</v>
      </c>
      <c r="D7" s="2">
        <v>846.7363936188309</v>
      </c>
      <c r="E7" s="3">
        <v>0.45283112500620321</v>
      </c>
    </row>
    <row r="8" spans="1:13" x14ac:dyDescent="0.25">
      <c r="B8" s="1" t="s">
        <v>34</v>
      </c>
      <c r="C8" s="3">
        <v>7</v>
      </c>
      <c r="D8" s="2">
        <v>873.86696221557884</v>
      </c>
      <c r="E8" s="3">
        <v>0.45283112500620321</v>
      </c>
    </row>
    <row r="9" spans="1:13" x14ac:dyDescent="0.25">
      <c r="B9" s="1" t="s">
        <v>34</v>
      </c>
      <c r="C9" s="3">
        <v>8</v>
      </c>
      <c r="D9" s="2">
        <v>887.2938474388742</v>
      </c>
      <c r="E9" s="3">
        <v>0.45283112500620321</v>
      </c>
    </row>
    <row r="10" spans="1:13" x14ac:dyDescent="0.25">
      <c r="B10" s="1" t="s">
        <v>34</v>
      </c>
      <c r="C10" s="3">
        <v>9</v>
      </c>
      <c r="D10" s="2">
        <v>893.84930148991452</v>
      </c>
      <c r="E10" s="3">
        <v>0.45283112500620321</v>
      </c>
    </row>
    <row r="11" spans="1:13" x14ac:dyDescent="0.25">
      <c r="B11" s="1" t="s">
        <v>34</v>
      </c>
      <c r="C11" s="3">
        <v>10</v>
      </c>
      <c r="D11" s="2">
        <v>897.02896130318277</v>
      </c>
      <c r="E11" s="3">
        <v>0.45283112500620321</v>
      </c>
    </row>
    <row r="12" spans="1:13" x14ac:dyDescent="0.25">
      <c r="B12" s="1" t="s">
        <v>34</v>
      </c>
      <c r="C12" s="3">
        <v>11</v>
      </c>
      <c r="D12" s="2">
        <v>898.56634511537186</v>
      </c>
      <c r="E12" s="3">
        <v>0.45283112500620321</v>
      </c>
    </row>
    <row r="13" spans="1:13" x14ac:dyDescent="0.25">
      <c r="B13" s="1" t="s">
        <v>34</v>
      </c>
      <c r="C13" s="3">
        <v>12</v>
      </c>
      <c r="D13" s="2">
        <v>899.30854334837488</v>
      </c>
      <c r="E13" s="3">
        <v>0.45283112500620321</v>
      </c>
    </row>
    <row r="14" spans="1:13" x14ac:dyDescent="0.25">
      <c r="B14" s="1" t="s">
        <v>34</v>
      </c>
      <c r="C14" s="3">
        <v>13</v>
      </c>
      <c r="D14" s="2">
        <v>899.66658807062197</v>
      </c>
      <c r="E14" s="3">
        <v>0.45283112500620321</v>
      </c>
    </row>
    <row r="15" spans="1:13" x14ac:dyDescent="0.25">
      <c r="B15" s="1" t="s">
        <v>34</v>
      </c>
      <c r="C15" s="3">
        <v>14</v>
      </c>
      <c r="D15" s="2">
        <v>899.83925144274599</v>
      </c>
      <c r="E15" s="3">
        <v>0.45283112500620321</v>
      </c>
    </row>
    <row r="16" spans="1:13" x14ac:dyDescent="0.25">
      <c r="B16" s="1" t="s">
        <v>34</v>
      </c>
      <c r="C16" s="3">
        <v>15</v>
      </c>
      <c r="D16" s="2">
        <v>899.92250229943011</v>
      </c>
      <c r="E16" s="3">
        <v>0.45283112500620321</v>
      </c>
    </row>
    <row r="17" spans="2:5" x14ac:dyDescent="0.25">
      <c r="B17" s="1" t="s">
        <v>34</v>
      </c>
      <c r="C17" s="3">
        <v>16</v>
      </c>
      <c r="D17" s="2">
        <v>899.96263896704113</v>
      </c>
      <c r="E17" s="3">
        <v>0.45283112500620321</v>
      </c>
    </row>
    <row r="18" spans="2:5" x14ac:dyDescent="0.25">
      <c r="B18" s="1" t="s">
        <v>34</v>
      </c>
      <c r="C18" s="3">
        <v>17</v>
      </c>
      <c r="D18" s="2">
        <v>899.98198877277616</v>
      </c>
      <c r="E18" s="3">
        <v>0.45283112500620321</v>
      </c>
    </row>
    <row r="19" spans="2:5" x14ac:dyDescent="0.25">
      <c r="B19" s="1" t="s">
        <v>34</v>
      </c>
      <c r="C19" s="3">
        <v>18</v>
      </c>
      <c r="D19" s="2">
        <v>899.99131709554956</v>
      </c>
      <c r="E19" s="3">
        <v>0.45283112500620321</v>
      </c>
    </row>
    <row r="20" spans="2:5" x14ac:dyDescent="0.25">
      <c r="B20" s="1" t="s">
        <v>34</v>
      </c>
      <c r="C20" s="3">
        <v>19</v>
      </c>
      <c r="D20" s="2">
        <v>899.99581413294686</v>
      </c>
      <c r="E20" s="3">
        <v>0.45283112500620321</v>
      </c>
    </row>
    <row r="21" spans="2:5" x14ac:dyDescent="0.25">
      <c r="B21" s="1" t="s">
        <v>34</v>
      </c>
      <c r="C21" s="3">
        <v>20</v>
      </c>
      <c r="D21" s="2">
        <v>899.99798207412687</v>
      </c>
      <c r="E21" s="3">
        <v>0.45283112500620321</v>
      </c>
    </row>
    <row r="22" spans="2:5" x14ac:dyDescent="0.25">
      <c r="B22" s="1" t="s">
        <v>34</v>
      </c>
      <c r="C22" s="3">
        <v>21</v>
      </c>
      <c r="D22" s="2">
        <v>899.999027197489</v>
      </c>
      <c r="E22" s="3">
        <v>0.45283112500620321</v>
      </c>
    </row>
    <row r="23" spans="2:5" x14ac:dyDescent="0.25">
      <c r="B23" s="1" t="s">
        <v>34</v>
      </c>
      <c r="C23" s="3">
        <v>22</v>
      </c>
      <c r="D23" s="2">
        <v>899.99953103113523</v>
      </c>
      <c r="E23" s="3">
        <v>0.45283112500620321</v>
      </c>
    </row>
    <row r="24" spans="2:5" x14ac:dyDescent="0.25">
      <c r="B24" s="1" t="s">
        <v>34</v>
      </c>
      <c r="C24" s="3">
        <v>23</v>
      </c>
      <c r="D24" s="2">
        <v>899.99977391941547</v>
      </c>
      <c r="E24" s="3">
        <v>0.45283112500620321</v>
      </c>
    </row>
    <row r="25" spans="2:5" x14ac:dyDescent="0.25">
      <c r="B25" s="1" t="s">
        <v>34</v>
      </c>
      <c r="C25" s="3">
        <v>24</v>
      </c>
      <c r="D25" s="2">
        <v>899.99989101104461</v>
      </c>
      <c r="E25" s="3">
        <v>0.45283112500620321</v>
      </c>
    </row>
    <row r="26" spans="2:5" x14ac:dyDescent="0.25">
      <c r="B26" s="1" t="s">
        <v>34</v>
      </c>
      <c r="C26" s="3">
        <v>25</v>
      </c>
      <c r="D26" s="2">
        <v>899.99994745859317</v>
      </c>
      <c r="E26" s="3">
        <v>0.45283112500620321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0"/>
  <sheetViews>
    <sheetView workbookViewId="0">
      <selection sqref="A1:XFD1048576"/>
    </sheetView>
  </sheetViews>
  <sheetFormatPr baseColWidth="10" defaultRowHeight="15" x14ac:dyDescent="0.25"/>
  <cols>
    <col min="1" max="16384" width="11.42578125" style="1"/>
  </cols>
  <sheetData>
    <row r="1" spans="1:13" x14ac:dyDescent="0.25">
      <c r="A1" s="1" t="s">
        <v>7</v>
      </c>
      <c r="B1" s="1" t="s">
        <v>8</v>
      </c>
      <c r="C1" s="1" t="s">
        <v>9</v>
      </c>
      <c r="D1" s="1" t="s">
        <v>10</v>
      </c>
      <c r="E1" s="1" t="s">
        <v>11</v>
      </c>
      <c r="F1" s="1" t="s">
        <v>28</v>
      </c>
      <c r="G1" s="1" t="s">
        <v>29</v>
      </c>
      <c r="H1" s="1" t="s">
        <v>30</v>
      </c>
      <c r="I1" s="1" t="s">
        <v>31</v>
      </c>
      <c r="J1" s="1" t="s">
        <v>32</v>
      </c>
      <c r="K1" s="1" t="s">
        <v>35</v>
      </c>
      <c r="L1" s="1" t="s">
        <v>16</v>
      </c>
    </row>
    <row r="2" spans="1:13" x14ac:dyDescent="0.25">
      <c r="A2" s="1" t="s">
        <v>36</v>
      </c>
      <c r="B2" s="1" t="s">
        <v>36</v>
      </c>
      <c r="C2" s="3">
        <v>1</v>
      </c>
      <c r="D2" s="2">
        <v>71.656424629808754</v>
      </c>
      <c r="E2" s="3">
        <v>0</v>
      </c>
      <c r="F2" s="1">
        <v>227</v>
      </c>
      <c r="G2" s="1">
        <v>1.01</v>
      </c>
      <c r="H2" s="1">
        <f>1.180998+0.002848*F2</f>
        <v>1.827494</v>
      </c>
      <c r="I2" s="1">
        <v>1</v>
      </c>
      <c r="J2" s="1">
        <v>30</v>
      </c>
      <c r="K2" s="1">
        <v>20</v>
      </c>
      <c r="L2" s="1" t="s">
        <v>37</v>
      </c>
    </row>
    <row r="3" spans="1:13" x14ac:dyDescent="0.25">
      <c r="B3" s="1" t="s">
        <v>36</v>
      </c>
      <c r="C3" s="3">
        <v>2</v>
      </c>
      <c r="D3" s="2">
        <v>147.84557611674927</v>
      </c>
      <c r="E3" s="3">
        <v>0</v>
      </c>
    </row>
    <row r="4" spans="1:13" x14ac:dyDescent="0.25">
      <c r="B4" s="1" t="s">
        <v>36</v>
      </c>
      <c r="C4" s="3">
        <v>3</v>
      </c>
      <c r="D4" s="2">
        <v>195.92045641887091</v>
      </c>
      <c r="E4" s="3">
        <v>0</v>
      </c>
      <c r="G4" s="1" t="s">
        <v>19</v>
      </c>
      <c r="H4" s="1" t="s">
        <v>20</v>
      </c>
      <c r="I4" s="1" t="s">
        <v>21</v>
      </c>
      <c r="J4" s="1" t="s">
        <v>22</v>
      </c>
      <c r="K4" s="1" t="s">
        <v>23</v>
      </c>
      <c r="L4" s="1" t="s">
        <v>24</v>
      </c>
      <c r="M4" s="1" t="s">
        <v>25</v>
      </c>
    </row>
    <row r="5" spans="1:13" x14ac:dyDescent="0.25">
      <c r="B5" s="1" t="s">
        <v>36</v>
      </c>
      <c r="C5" s="3">
        <v>4</v>
      </c>
      <c r="D5" s="2">
        <v>216.14996934966604</v>
      </c>
      <c r="E5" s="3">
        <v>0.16666666666666666</v>
      </c>
      <c r="G5" s="5">
        <v>227.13</v>
      </c>
      <c r="H5" s="4">
        <v>28.729799379999996</v>
      </c>
      <c r="I5" s="1">
        <v>3.5</v>
      </c>
      <c r="J5" s="1">
        <v>1</v>
      </c>
      <c r="K5" s="3">
        <v>0.66666666666666663</v>
      </c>
      <c r="L5" s="1">
        <v>38.799999999999997</v>
      </c>
      <c r="M5" s="1" t="s">
        <v>26</v>
      </c>
    </row>
    <row r="6" spans="1:13" x14ac:dyDescent="0.25">
      <c r="B6" s="1" t="s">
        <v>36</v>
      </c>
      <c r="C6" s="3">
        <v>5</v>
      </c>
      <c r="D6" s="2">
        <v>223.42046289117232</v>
      </c>
      <c r="E6" s="3">
        <v>0.33333333333333331</v>
      </c>
    </row>
    <row r="7" spans="1:13" x14ac:dyDescent="0.25">
      <c r="B7" s="1" t="s">
        <v>36</v>
      </c>
      <c r="C7" s="3">
        <v>6</v>
      </c>
      <c r="D7" s="2">
        <v>225.89392056459857</v>
      </c>
      <c r="E7" s="3">
        <v>0.33333333333333331</v>
      </c>
    </row>
    <row r="8" spans="1:13" x14ac:dyDescent="0.25">
      <c r="B8" s="1" t="s">
        <v>36</v>
      </c>
      <c r="C8" s="3">
        <v>7</v>
      </c>
      <c r="D8" s="2">
        <v>226.72001056035123</v>
      </c>
      <c r="E8" s="3">
        <v>0.33333333333333331</v>
      </c>
    </row>
    <row r="9" spans="1:13" x14ac:dyDescent="0.25">
      <c r="B9" s="1" t="s">
        <v>36</v>
      </c>
      <c r="C9" s="3">
        <v>8</v>
      </c>
      <c r="D9" s="2">
        <v>226.9942202600009</v>
      </c>
      <c r="E9" s="3">
        <v>0.33333333333333331</v>
      </c>
    </row>
    <row r="10" spans="1:13" x14ac:dyDescent="0.25">
      <c r="B10" s="1" t="s">
        <v>36</v>
      </c>
      <c r="C10" s="3">
        <v>9</v>
      </c>
      <c r="D10" s="2">
        <v>227.08505542035749</v>
      </c>
      <c r="E10" s="3">
        <v>0.33333333333333331</v>
      </c>
    </row>
    <row r="11" spans="1:13" x14ac:dyDescent="0.25">
      <c r="B11" s="1" t="s">
        <v>36</v>
      </c>
      <c r="C11" s="3">
        <v>10</v>
      </c>
      <c r="D11" s="2">
        <v>227.11512534639991</v>
      </c>
      <c r="E11" s="3">
        <v>0.33333333333333331</v>
      </c>
    </row>
    <row r="12" spans="1:13" x14ac:dyDescent="0.25">
      <c r="B12" s="1" t="s">
        <v>36</v>
      </c>
      <c r="C12" s="3">
        <v>11</v>
      </c>
      <c r="D12" s="2">
        <v>227.12507742547109</v>
      </c>
      <c r="E12" s="3">
        <v>0.33333333333333331</v>
      </c>
    </row>
    <row r="13" spans="1:13" x14ac:dyDescent="0.25">
      <c r="B13" s="1" t="s">
        <v>36</v>
      </c>
      <c r="C13" s="3">
        <v>12</v>
      </c>
      <c r="D13" s="2">
        <v>227.12837096744084</v>
      </c>
      <c r="E13" s="3">
        <v>0.33333333333333331</v>
      </c>
    </row>
    <row r="14" spans="1:13" x14ac:dyDescent="0.25">
      <c r="B14" s="1" t="s">
        <v>36</v>
      </c>
      <c r="C14" s="3">
        <v>13</v>
      </c>
      <c r="D14" s="2">
        <v>227.12946090588642</v>
      </c>
      <c r="E14" s="3">
        <v>0.33333333333333331</v>
      </c>
    </row>
    <row r="15" spans="1:13" x14ac:dyDescent="0.25">
      <c r="B15" s="1" t="s">
        <v>36</v>
      </c>
      <c r="C15" s="3">
        <v>14</v>
      </c>
      <c r="D15" s="2">
        <v>227.12998046264482</v>
      </c>
      <c r="E15" s="3">
        <v>0.33333333333333331</v>
      </c>
    </row>
    <row r="16" spans="1:13" x14ac:dyDescent="0.25">
      <c r="B16" s="1" t="s">
        <v>36</v>
      </c>
      <c r="C16" s="3">
        <v>15</v>
      </c>
      <c r="D16" s="2">
        <v>227.1299935345418</v>
      </c>
      <c r="E16" s="3">
        <v>0.33333333333333331</v>
      </c>
    </row>
    <row r="17" spans="2:5" x14ac:dyDescent="0.25">
      <c r="B17" s="1" t="s">
        <v>36</v>
      </c>
      <c r="C17" s="3">
        <v>16</v>
      </c>
      <c r="D17" s="2">
        <v>227.12999786039879</v>
      </c>
      <c r="E17" s="3">
        <v>0.33333333333333331</v>
      </c>
    </row>
    <row r="18" spans="2:5" x14ac:dyDescent="0.25">
      <c r="B18" s="1" t="s">
        <v>36</v>
      </c>
      <c r="C18" s="3">
        <v>17</v>
      </c>
      <c r="D18" s="2">
        <v>227.12999929194604</v>
      </c>
      <c r="E18" s="3">
        <v>0.33333333333333331</v>
      </c>
    </row>
    <row r="19" spans="2:5" x14ac:dyDescent="0.25">
      <c r="B19" s="1" t="s">
        <v>36</v>
      </c>
      <c r="C19" s="3">
        <v>18</v>
      </c>
      <c r="D19" s="2">
        <v>227.12999976568511</v>
      </c>
      <c r="E19" s="3">
        <v>0.33333333333333331</v>
      </c>
    </row>
    <row r="20" spans="2:5" x14ac:dyDescent="0.25">
      <c r="B20" s="1" t="s">
        <v>36</v>
      </c>
      <c r="C20" s="3">
        <v>19</v>
      </c>
      <c r="D20" s="2">
        <v>227.12999992245867</v>
      </c>
      <c r="E20" s="3">
        <v>0.33333333333333331</v>
      </c>
    </row>
    <row r="21" spans="2:5" x14ac:dyDescent="0.25">
      <c r="B21" s="1" t="s">
        <v>36</v>
      </c>
      <c r="C21" s="3">
        <v>20</v>
      </c>
      <c r="D21" s="2">
        <v>227.12999997433943</v>
      </c>
      <c r="E21" s="3">
        <v>0.33333333333333331</v>
      </c>
    </row>
    <row r="22" spans="2:5" x14ac:dyDescent="0.25">
      <c r="B22" s="1" t="s">
        <v>36</v>
      </c>
      <c r="C22" s="3">
        <v>21</v>
      </c>
      <c r="D22" s="2">
        <v>227.12999999150821</v>
      </c>
      <c r="E22" s="3">
        <v>0.33333333333333331</v>
      </c>
    </row>
    <row r="23" spans="2:5" x14ac:dyDescent="0.25">
      <c r="B23" s="1" t="s">
        <v>36</v>
      </c>
      <c r="C23" s="3">
        <v>22</v>
      </c>
      <c r="D23" s="2">
        <v>227.12999999718983</v>
      </c>
      <c r="E23" s="3">
        <v>0.33333333333333331</v>
      </c>
    </row>
    <row r="24" spans="2:5" x14ac:dyDescent="0.25">
      <c r="B24" s="1" t="s">
        <v>36</v>
      </c>
      <c r="C24" s="3">
        <v>23</v>
      </c>
      <c r="D24" s="2">
        <v>227.12999999907001</v>
      </c>
      <c r="E24" s="3">
        <v>0.33333333333333331</v>
      </c>
    </row>
    <row r="25" spans="2:5" x14ac:dyDescent="0.25">
      <c r="B25" s="1" t="s">
        <v>36</v>
      </c>
      <c r="C25" s="3">
        <v>24</v>
      </c>
      <c r="D25" s="2">
        <v>227.12999999969225</v>
      </c>
      <c r="E25" s="3">
        <v>0.33333333333333331</v>
      </c>
    </row>
    <row r="26" spans="2:5" x14ac:dyDescent="0.25">
      <c r="B26" s="1" t="s">
        <v>36</v>
      </c>
      <c r="C26" s="3">
        <v>25</v>
      </c>
      <c r="D26" s="2">
        <v>227.12999999989816</v>
      </c>
      <c r="E26" s="3">
        <v>0.33333333333333331</v>
      </c>
    </row>
    <row r="27" spans="2:5" x14ac:dyDescent="0.25">
      <c r="B27" s="1" t="s">
        <v>36</v>
      </c>
      <c r="C27" s="3">
        <v>26</v>
      </c>
      <c r="D27" s="2">
        <v>227.12999999996629</v>
      </c>
      <c r="E27" s="3">
        <v>0.33333333333333331</v>
      </c>
    </row>
    <row r="28" spans="2:5" x14ac:dyDescent="0.25">
      <c r="B28" s="1" t="s">
        <v>36</v>
      </c>
      <c r="C28" s="3">
        <v>27</v>
      </c>
      <c r="D28" s="2">
        <v>227.12999999998883</v>
      </c>
      <c r="E28" s="3">
        <v>0.33333333333333331</v>
      </c>
    </row>
    <row r="29" spans="2:5" x14ac:dyDescent="0.25">
      <c r="B29" s="1" t="s">
        <v>36</v>
      </c>
      <c r="C29" s="3">
        <v>28</v>
      </c>
      <c r="D29" s="2">
        <v>227.1299999999963</v>
      </c>
      <c r="E29" s="3">
        <v>0.33333333333333331</v>
      </c>
    </row>
    <row r="30" spans="2:5" x14ac:dyDescent="0.25">
      <c r="B30" s="1" t="s">
        <v>36</v>
      </c>
      <c r="C30" s="3">
        <v>29</v>
      </c>
      <c r="D30" s="2">
        <v>227.12999999999877</v>
      </c>
      <c r="E30" s="3">
        <v>0.33333333333333331</v>
      </c>
    </row>
    <row r="31" spans="2:5" x14ac:dyDescent="0.25">
      <c r="B31" s="1" t="s">
        <v>36</v>
      </c>
      <c r="C31" s="3">
        <v>30</v>
      </c>
      <c r="D31" s="2">
        <v>227.1299999999996</v>
      </c>
      <c r="E31" s="3">
        <v>0.33333333333333331</v>
      </c>
    </row>
    <row r="32" spans="2:5" x14ac:dyDescent="0.25">
      <c r="B32" s="1" t="s">
        <v>36</v>
      </c>
      <c r="C32" s="3">
        <v>31</v>
      </c>
      <c r="D32" s="2">
        <v>227.12999999999985</v>
      </c>
      <c r="E32" s="3">
        <v>0.33333333333333331</v>
      </c>
    </row>
    <row r="33" spans="2:5" x14ac:dyDescent="0.25">
      <c r="B33" s="1" t="s">
        <v>36</v>
      </c>
      <c r="C33" s="3">
        <v>32</v>
      </c>
      <c r="D33" s="2">
        <v>227.12999999999994</v>
      </c>
      <c r="E33" s="3">
        <v>0.33333333333333331</v>
      </c>
    </row>
    <row r="34" spans="2:5" x14ac:dyDescent="0.25">
      <c r="B34" s="1" t="s">
        <v>36</v>
      </c>
      <c r="C34" s="3">
        <v>33</v>
      </c>
      <c r="D34" s="2">
        <v>227.13</v>
      </c>
      <c r="E34" s="3">
        <v>0.33333333333333331</v>
      </c>
    </row>
    <row r="35" spans="2:5" x14ac:dyDescent="0.25">
      <c r="B35" s="1" t="s">
        <v>36</v>
      </c>
      <c r="C35" s="3">
        <v>34</v>
      </c>
      <c r="D35" s="2">
        <v>227.13</v>
      </c>
      <c r="E35" s="3">
        <v>0.33333333333333331</v>
      </c>
    </row>
    <row r="36" spans="2:5" x14ac:dyDescent="0.25">
      <c r="B36" s="1" t="s">
        <v>36</v>
      </c>
      <c r="C36" s="3">
        <v>35</v>
      </c>
      <c r="D36" s="2">
        <v>227.13</v>
      </c>
      <c r="E36" s="3">
        <v>0.33333333333333331</v>
      </c>
    </row>
    <row r="37" spans="2:5" x14ac:dyDescent="0.25">
      <c r="B37" s="1" t="s">
        <v>36</v>
      </c>
      <c r="C37" s="3">
        <v>36</v>
      </c>
      <c r="D37" s="2">
        <v>227.13</v>
      </c>
      <c r="E37" s="3">
        <v>0.33333333333333331</v>
      </c>
    </row>
    <row r="38" spans="2:5" x14ac:dyDescent="0.25">
      <c r="B38" s="1" t="s">
        <v>36</v>
      </c>
      <c r="C38" s="3">
        <v>37</v>
      </c>
      <c r="D38" s="2">
        <v>227.13</v>
      </c>
      <c r="E38" s="3">
        <v>0.33333333333333331</v>
      </c>
    </row>
    <row r="39" spans="2:5" x14ac:dyDescent="0.25">
      <c r="B39" s="1" t="s">
        <v>36</v>
      </c>
      <c r="C39" s="3">
        <v>38</v>
      </c>
      <c r="D39" s="2">
        <v>227.13</v>
      </c>
      <c r="E39" s="3">
        <v>0.33333333333333331</v>
      </c>
    </row>
    <row r="40" spans="2:5" x14ac:dyDescent="0.25">
      <c r="B40" s="1" t="s">
        <v>36</v>
      </c>
      <c r="C40" s="3">
        <v>39</v>
      </c>
      <c r="D40" s="2">
        <v>227.13</v>
      </c>
      <c r="E40" s="3">
        <v>0.26666666666666572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0"/>
  <sheetViews>
    <sheetView workbookViewId="0">
      <selection sqref="A1:XFD1048576"/>
    </sheetView>
  </sheetViews>
  <sheetFormatPr baseColWidth="10" defaultRowHeight="15" x14ac:dyDescent="0.25"/>
  <cols>
    <col min="1" max="16384" width="11.42578125" style="1"/>
  </cols>
  <sheetData>
    <row r="1" spans="1:13" x14ac:dyDescent="0.25">
      <c r="A1" s="1" t="s">
        <v>7</v>
      </c>
      <c r="B1" s="1" t="s">
        <v>8</v>
      </c>
      <c r="C1" s="1" t="s">
        <v>9</v>
      </c>
      <c r="D1" s="1" t="s">
        <v>10</v>
      </c>
      <c r="E1" s="1" t="s">
        <v>11</v>
      </c>
      <c r="F1" s="1" t="s">
        <v>28</v>
      </c>
      <c r="G1" s="1" t="s">
        <v>29</v>
      </c>
      <c r="H1" s="1" t="s">
        <v>30</v>
      </c>
      <c r="I1" s="1" t="s">
        <v>31</v>
      </c>
      <c r="J1" s="1" t="s">
        <v>32</v>
      </c>
      <c r="K1" s="1" t="s">
        <v>35</v>
      </c>
      <c r="L1" s="1" t="s">
        <v>16</v>
      </c>
    </row>
    <row r="2" spans="1:13" x14ac:dyDescent="0.25">
      <c r="A2" s="1" t="s">
        <v>38</v>
      </c>
      <c r="B2" s="1" t="s">
        <v>38</v>
      </c>
      <c r="C2" s="3">
        <v>0</v>
      </c>
      <c r="D2" s="2">
        <v>68.319938921944157</v>
      </c>
      <c r="E2" s="3">
        <v>0</v>
      </c>
      <c r="F2" s="1">
        <v>200</v>
      </c>
      <c r="G2" s="1">
        <v>1.5</v>
      </c>
      <c r="H2" s="1">
        <v>2.5</v>
      </c>
      <c r="I2" s="1">
        <v>1</v>
      </c>
      <c r="J2" s="1">
        <v>38</v>
      </c>
      <c r="K2" s="1">
        <v>25</v>
      </c>
      <c r="L2" s="1" t="s">
        <v>37</v>
      </c>
    </row>
    <row r="3" spans="1:13" x14ac:dyDescent="0.25">
      <c r="B3" s="1" t="s">
        <v>38</v>
      </c>
      <c r="C3" s="3">
        <v>0</v>
      </c>
      <c r="D3" s="2">
        <v>136.27150192202254</v>
      </c>
      <c r="E3" s="3">
        <v>0</v>
      </c>
    </row>
    <row r="4" spans="1:13" x14ac:dyDescent="0.25">
      <c r="B4" s="1" t="s">
        <v>38</v>
      </c>
      <c r="C4" s="3">
        <v>0</v>
      </c>
      <c r="D4" s="2">
        <v>176.26519756541595</v>
      </c>
      <c r="E4" s="3">
        <v>0</v>
      </c>
      <c r="G4" s="1" t="s">
        <v>19</v>
      </c>
      <c r="H4" s="1" t="s">
        <v>20</v>
      </c>
      <c r="I4" s="1" t="s">
        <v>21</v>
      </c>
      <c r="J4" s="1" t="s">
        <v>22</v>
      </c>
      <c r="K4" s="1" t="s">
        <v>23</v>
      </c>
      <c r="L4" s="1" t="s">
        <v>24</v>
      </c>
      <c r="M4" s="1" t="s">
        <v>25</v>
      </c>
    </row>
    <row r="5" spans="1:13" x14ac:dyDescent="0.25">
      <c r="B5" s="1" t="s">
        <v>38</v>
      </c>
      <c r="C5" s="3">
        <v>0.16666666666666666</v>
      </c>
      <c r="D5" s="2">
        <v>192.05910137255543</v>
      </c>
      <c r="E5" s="3">
        <v>0.16666666666666666</v>
      </c>
      <c r="G5" s="2">
        <v>200</v>
      </c>
      <c r="H5" s="4">
        <v>28.625999999999998</v>
      </c>
      <c r="I5" s="1">
        <v>3.5</v>
      </c>
      <c r="J5" s="6">
        <v>1</v>
      </c>
      <c r="K5" s="3">
        <v>0.66666666666666663</v>
      </c>
      <c r="L5" s="1">
        <v>38.799999999999997</v>
      </c>
      <c r="M5" s="1" t="s">
        <v>26</v>
      </c>
    </row>
    <row r="6" spans="1:13" x14ac:dyDescent="0.25">
      <c r="B6" s="1" t="s">
        <v>38</v>
      </c>
      <c r="C6" s="3">
        <v>0.33333333333333331</v>
      </c>
      <c r="D6" s="2">
        <v>197.43906641971432</v>
      </c>
      <c r="E6" s="3">
        <v>0.33333333333333331</v>
      </c>
    </row>
    <row r="7" spans="1:13" x14ac:dyDescent="0.25">
      <c r="B7" s="1" t="s">
        <v>38</v>
      </c>
      <c r="C7" s="3">
        <v>0.33333333333333331</v>
      </c>
      <c r="D7" s="2">
        <v>199.18389382884223</v>
      </c>
      <c r="E7" s="3">
        <v>0.33333333333333331</v>
      </c>
    </row>
    <row r="8" spans="1:13" x14ac:dyDescent="0.25">
      <c r="B8" s="1" t="s">
        <v>38</v>
      </c>
      <c r="C8" s="3">
        <v>0.33333333333333331</v>
      </c>
      <c r="D8" s="2">
        <v>199.74091588018462</v>
      </c>
      <c r="E8" s="3">
        <v>0.33333333333333331</v>
      </c>
    </row>
    <row r="9" spans="1:13" x14ac:dyDescent="0.25">
      <c r="B9" s="1" t="s">
        <v>38</v>
      </c>
      <c r="C9" s="3">
        <v>0.33333333333333331</v>
      </c>
      <c r="D9" s="2">
        <v>199.91784964616491</v>
      </c>
      <c r="E9" s="3">
        <v>0.33333333333333331</v>
      </c>
    </row>
    <row r="10" spans="1:13" x14ac:dyDescent="0.25">
      <c r="B10" s="1" t="s">
        <v>38</v>
      </c>
      <c r="C10" s="3">
        <v>0.33333333333333331</v>
      </c>
      <c r="D10" s="2">
        <v>199.9739617719118</v>
      </c>
      <c r="E10" s="3">
        <v>0.33333333333333331</v>
      </c>
    </row>
    <row r="11" spans="1:13" x14ac:dyDescent="0.25">
      <c r="B11" s="1" t="s">
        <v>38</v>
      </c>
      <c r="C11" s="3">
        <v>0.33333333333333331</v>
      </c>
      <c r="D11" s="2">
        <v>199.99174797396537</v>
      </c>
      <c r="E11" s="3">
        <v>0.33333333333333331</v>
      </c>
    </row>
    <row r="12" spans="1:13" x14ac:dyDescent="0.25">
      <c r="B12" s="1" t="s">
        <v>38</v>
      </c>
      <c r="C12" s="3">
        <v>0.33333333333333331</v>
      </c>
      <c r="D12" s="2">
        <v>199.99738487164296</v>
      </c>
      <c r="E12" s="3">
        <v>0.33333333333333331</v>
      </c>
    </row>
    <row r="13" spans="1:13" x14ac:dyDescent="0.25">
      <c r="B13" s="1" t="s">
        <v>38</v>
      </c>
      <c r="C13" s="3">
        <v>0.33333333333333331</v>
      </c>
      <c r="D13" s="2">
        <v>199.99917125651979</v>
      </c>
      <c r="E13" s="3">
        <v>0.33333333333333331</v>
      </c>
    </row>
    <row r="14" spans="1:13" x14ac:dyDescent="0.25">
      <c r="B14" s="1" t="s">
        <v>38</v>
      </c>
      <c r="C14" s="3">
        <v>0.33333333333333331</v>
      </c>
      <c r="D14" s="2">
        <v>199.99973736925946</v>
      </c>
      <c r="E14" s="3">
        <v>0.33333333333333331</v>
      </c>
    </row>
    <row r="15" spans="1:13" x14ac:dyDescent="0.25">
      <c r="B15" s="1" t="s">
        <v>38</v>
      </c>
      <c r="C15" s="3">
        <v>0.33333333333333331</v>
      </c>
      <c r="D15" s="2">
        <v>199.99999164166317</v>
      </c>
      <c r="E15" s="3">
        <v>0.33333333333333331</v>
      </c>
    </row>
    <row r="16" spans="1:13" x14ac:dyDescent="0.25">
      <c r="B16" s="1" t="s">
        <v>38</v>
      </c>
      <c r="C16" s="3">
        <v>0.33333333333333331</v>
      </c>
      <c r="D16" s="2">
        <v>199.99999735122827</v>
      </c>
      <c r="E16" s="3">
        <v>0.33333333333333331</v>
      </c>
    </row>
    <row r="17" spans="2:5" x14ac:dyDescent="0.25">
      <c r="B17" s="1" t="s">
        <v>38</v>
      </c>
      <c r="C17" s="3">
        <v>0.33333333333333331</v>
      </c>
      <c r="D17" s="2">
        <v>199.99999916059954</v>
      </c>
      <c r="E17" s="3">
        <v>0.33333333333333331</v>
      </c>
    </row>
    <row r="18" spans="2:5" x14ac:dyDescent="0.25">
      <c r="B18" s="1" t="s">
        <v>38</v>
      </c>
      <c r="C18" s="3">
        <v>0.33333333333333331</v>
      </c>
      <c r="D18" s="2">
        <v>199.9999997339925</v>
      </c>
      <c r="E18" s="3">
        <v>0.33333333333333331</v>
      </c>
    </row>
    <row r="19" spans="2:5" x14ac:dyDescent="0.25">
      <c r="B19" s="1" t="s">
        <v>38</v>
      </c>
      <c r="C19" s="3">
        <v>0.33333333333333331</v>
      </c>
      <c r="D19" s="2">
        <v>199.99999991570175</v>
      </c>
      <c r="E19" s="3">
        <v>0.33333333333333331</v>
      </c>
    </row>
    <row r="20" spans="2:5" x14ac:dyDescent="0.25">
      <c r="B20" s="1" t="s">
        <v>38</v>
      </c>
      <c r="C20" s="3">
        <v>0.33333333333333331</v>
      </c>
      <c r="D20" s="2">
        <v>199.99999997328575</v>
      </c>
      <c r="E20" s="3">
        <v>0.33333333333333331</v>
      </c>
    </row>
    <row r="21" spans="2:5" x14ac:dyDescent="0.25">
      <c r="B21" s="1" t="s">
        <v>38</v>
      </c>
      <c r="C21" s="3">
        <v>0.33333333333333331</v>
      </c>
      <c r="D21" s="2">
        <v>199.99999999153422</v>
      </c>
      <c r="E21" s="3">
        <v>0.33333333333333331</v>
      </c>
    </row>
    <row r="22" spans="2:5" x14ac:dyDescent="0.25">
      <c r="B22" s="1" t="s">
        <v>38</v>
      </c>
      <c r="C22" s="3">
        <v>0.33333333333333331</v>
      </c>
      <c r="D22" s="2">
        <v>199.99999999731716</v>
      </c>
      <c r="E22" s="3">
        <v>0.33333333333333331</v>
      </c>
    </row>
    <row r="23" spans="2:5" x14ac:dyDescent="0.25">
      <c r="B23" s="1" t="s">
        <v>38</v>
      </c>
      <c r="C23" s="3">
        <v>0.33333333333333331</v>
      </c>
      <c r="D23" s="2">
        <v>199.99999999914982</v>
      </c>
      <c r="E23" s="3">
        <v>0.33333333333333331</v>
      </c>
    </row>
    <row r="24" spans="2:5" x14ac:dyDescent="0.25">
      <c r="B24" s="1" t="s">
        <v>38</v>
      </c>
      <c r="C24" s="3">
        <v>0.33333333333333331</v>
      </c>
      <c r="D24" s="2">
        <v>199.99999999973056</v>
      </c>
      <c r="E24" s="3">
        <v>0.33333333333333331</v>
      </c>
    </row>
    <row r="25" spans="2:5" x14ac:dyDescent="0.25">
      <c r="B25" s="1" t="s">
        <v>38</v>
      </c>
      <c r="C25" s="3">
        <v>0.33333333333333331</v>
      </c>
      <c r="D25" s="2">
        <v>199.99999999991462</v>
      </c>
      <c r="E25" s="3">
        <v>0.33333333333333331</v>
      </c>
    </row>
    <row r="26" spans="2:5" x14ac:dyDescent="0.25">
      <c r="B26" s="1" t="s">
        <v>38</v>
      </c>
      <c r="C26" s="3">
        <v>0.33333333333333331</v>
      </c>
      <c r="D26" s="2">
        <v>199.99999999997294</v>
      </c>
      <c r="E26" s="3">
        <v>0.33333333333333331</v>
      </c>
    </row>
    <row r="27" spans="2:5" x14ac:dyDescent="0.25">
      <c r="B27" s="1" t="s">
        <v>38</v>
      </c>
      <c r="C27" s="3">
        <v>0.33333333333333331</v>
      </c>
      <c r="D27" s="1">
        <v>199.99999999999145</v>
      </c>
      <c r="E27" s="3">
        <v>0.33333333333333331</v>
      </c>
    </row>
    <row r="28" spans="2:5" x14ac:dyDescent="0.25">
      <c r="B28" s="1" t="s">
        <v>38</v>
      </c>
      <c r="C28" s="3">
        <v>0.33333333333333331</v>
      </c>
      <c r="D28" s="1">
        <v>199.99999999999727</v>
      </c>
      <c r="E28" s="3">
        <v>0.33333333333333331</v>
      </c>
    </row>
    <row r="29" spans="2:5" x14ac:dyDescent="0.25">
      <c r="B29" s="1" t="s">
        <v>38</v>
      </c>
      <c r="C29" s="3">
        <v>0.33333333333333331</v>
      </c>
      <c r="D29" s="1">
        <v>199.99999999999912</v>
      </c>
      <c r="E29" s="3">
        <v>0.33333333333333331</v>
      </c>
    </row>
    <row r="30" spans="2:5" x14ac:dyDescent="0.25">
      <c r="B30" s="1" t="s">
        <v>38</v>
      </c>
      <c r="C30" s="3">
        <v>0.33333333333333331</v>
      </c>
      <c r="D30" s="1">
        <v>199.99999999999972</v>
      </c>
      <c r="E30" s="3">
        <v>0.33333333333333331</v>
      </c>
    </row>
    <row r="31" spans="2:5" x14ac:dyDescent="0.25">
      <c r="B31" s="1" t="s">
        <v>38</v>
      </c>
      <c r="C31" s="3">
        <v>0.33333333333333331</v>
      </c>
      <c r="D31" s="1">
        <v>199.99999999999989</v>
      </c>
      <c r="E31" s="3">
        <v>0.33333333333333331</v>
      </c>
    </row>
    <row r="32" spans="2:5" x14ac:dyDescent="0.25">
      <c r="B32" s="1" t="s">
        <v>38</v>
      </c>
      <c r="C32" s="3">
        <v>0.33333333333333331</v>
      </c>
      <c r="D32" s="1">
        <v>199.99999999999994</v>
      </c>
      <c r="E32" s="3">
        <v>0.33333333333333331</v>
      </c>
    </row>
    <row r="33" spans="2:5" x14ac:dyDescent="0.25">
      <c r="B33" s="1" t="s">
        <v>38</v>
      </c>
      <c r="C33" s="3">
        <v>0.33333333333333331</v>
      </c>
      <c r="D33" s="1">
        <v>200</v>
      </c>
      <c r="E33" s="3">
        <v>0.33333333333333331</v>
      </c>
    </row>
    <row r="34" spans="2:5" x14ac:dyDescent="0.25">
      <c r="B34" s="1" t="s">
        <v>38</v>
      </c>
      <c r="C34" s="3">
        <v>0.33333333333333331</v>
      </c>
      <c r="D34" s="1">
        <v>200</v>
      </c>
      <c r="E34" s="3">
        <v>0.33333333333333331</v>
      </c>
    </row>
    <row r="35" spans="2:5" x14ac:dyDescent="0.25">
      <c r="B35" s="1" t="s">
        <v>38</v>
      </c>
      <c r="C35" s="3">
        <v>0.33333333333333331</v>
      </c>
      <c r="D35" s="1">
        <v>200</v>
      </c>
      <c r="E35" s="3">
        <v>0.33333333333333331</v>
      </c>
    </row>
    <row r="36" spans="2:5" x14ac:dyDescent="0.25">
      <c r="B36" s="1" t="s">
        <v>38</v>
      </c>
      <c r="C36" s="3">
        <v>0.33333333333333331</v>
      </c>
      <c r="D36" s="1">
        <v>200</v>
      </c>
      <c r="E36" s="3">
        <v>0.33333333333333331</v>
      </c>
    </row>
    <row r="37" spans="2:5" x14ac:dyDescent="0.25">
      <c r="B37" s="1" t="s">
        <v>38</v>
      </c>
      <c r="C37" s="3">
        <v>0.33333333333333331</v>
      </c>
      <c r="D37" s="1">
        <v>200</v>
      </c>
      <c r="E37" s="3">
        <v>0.33333333333333331</v>
      </c>
    </row>
    <row r="38" spans="2:5" x14ac:dyDescent="0.25">
      <c r="B38" s="1" t="s">
        <v>38</v>
      </c>
      <c r="C38" s="3">
        <v>0.33333333333333331</v>
      </c>
      <c r="D38" s="1">
        <v>200</v>
      </c>
      <c r="E38" s="3">
        <v>0.33333333333333331</v>
      </c>
    </row>
    <row r="39" spans="2:5" x14ac:dyDescent="0.25">
      <c r="B39" s="1" t="s">
        <v>38</v>
      </c>
      <c r="C39" s="3">
        <v>0.33333333333333331</v>
      </c>
      <c r="D39" s="1">
        <v>200</v>
      </c>
      <c r="E39" s="3">
        <v>0.33333333333333331</v>
      </c>
    </row>
    <row r="40" spans="2:5" x14ac:dyDescent="0.25">
      <c r="B40" s="1" t="s">
        <v>38</v>
      </c>
      <c r="C40" s="3">
        <v>0.26666666666666572</v>
      </c>
      <c r="D40" s="1">
        <v>200</v>
      </c>
      <c r="E40" s="3">
        <v>0.26666666666666572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8"/>
  <sheetViews>
    <sheetView workbookViewId="0">
      <selection sqref="A1:XFD1048576"/>
    </sheetView>
  </sheetViews>
  <sheetFormatPr baseColWidth="10" defaultRowHeight="15" x14ac:dyDescent="0.25"/>
  <cols>
    <col min="1" max="16384" width="11.42578125" style="1"/>
  </cols>
  <sheetData>
    <row r="1" spans="1:13" x14ac:dyDescent="0.25">
      <c r="A1" s="1" t="s">
        <v>7</v>
      </c>
      <c r="B1" s="1" t="s">
        <v>8</v>
      </c>
      <c r="C1" s="1" t="s">
        <v>9</v>
      </c>
      <c r="D1" s="1" t="s">
        <v>10</v>
      </c>
      <c r="E1" s="1" t="s">
        <v>11</v>
      </c>
      <c r="F1" s="1" t="s">
        <v>28</v>
      </c>
      <c r="G1" s="1" t="s">
        <v>29</v>
      </c>
      <c r="H1" s="1" t="s">
        <v>30</v>
      </c>
      <c r="I1" s="1" t="s">
        <v>31</v>
      </c>
      <c r="J1" s="1" t="s">
        <v>32</v>
      </c>
      <c r="K1" s="1" t="s">
        <v>35</v>
      </c>
      <c r="L1" s="1" t="s">
        <v>16</v>
      </c>
    </row>
    <row r="2" spans="1:13" x14ac:dyDescent="0.25">
      <c r="A2" s="1" t="s">
        <v>39</v>
      </c>
      <c r="B2" s="1" t="s">
        <v>39</v>
      </c>
      <c r="C2" s="3">
        <v>1</v>
      </c>
      <c r="D2" s="2">
        <v>99.151882994823012</v>
      </c>
      <c r="E2" s="3">
        <v>0</v>
      </c>
      <c r="F2" s="1">
        <v>131</v>
      </c>
      <c r="G2" s="1">
        <v>1.48</v>
      </c>
      <c r="H2" s="1">
        <v>2.5</v>
      </c>
      <c r="I2" s="1">
        <v>1</v>
      </c>
      <c r="J2" s="1">
        <v>10</v>
      </c>
      <c r="K2" s="1">
        <v>25</v>
      </c>
      <c r="L2" s="1" t="s">
        <v>37</v>
      </c>
    </row>
    <row r="3" spans="1:13" x14ac:dyDescent="0.25">
      <c r="B3" s="1" t="s">
        <v>39</v>
      </c>
      <c r="C3" s="3">
        <v>2</v>
      </c>
      <c r="D3" s="2">
        <v>121.2985011688213</v>
      </c>
      <c r="E3" s="3">
        <v>0</v>
      </c>
    </row>
    <row r="4" spans="1:13" x14ac:dyDescent="0.25">
      <c r="B4" s="1" t="s">
        <v>39</v>
      </c>
      <c r="C4" s="3">
        <v>3</v>
      </c>
      <c r="D4" s="2">
        <v>128.44693555452832</v>
      </c>
      <c r="E4" s="3">
        <v>0.13611710958904102</v>
      </c>
      <c r="G4" s="1" t="s">
        <v>19</v>
      </c>
      <c r="H4" s="1" t="s">
        <v>20</v>
      </c>
      <c r="I4" s="1" t="s">
        <v>21</v>
      </c>
      <c r="J4" s="1" t="s">
        <v>22</v>
      </c>
      <c r="K4" s="1" t="s">
        <v>23</v>
      </c>
      <c r="L4" s="1" t="s">
        <v>24</v>
      </c>
      <c r="M4" s="1" t="s">
        <v>25</v>
      </c>
    </row>
    <row r="5" spans="1:13" x14ac:dyDescent="0.25">
      <c r="B5" s="1" t="s">
        <v>39</v>
      </c>
      <c r="C5" s="3">
        <v>4</v>
      </c>
      <c r="D5" s="2">
        <v>130.48194430474791</v>
      </c>
      <c r="E5" s="3">
        <v>0.49050000000000005</v>
      </c>
      <c r="G5" s="7">
        <v>131.25</v>
      </c>
      <c r="H5" s="4">
        <v>82.558199999999999</v>
      </c>
      <c r="I5" s="8">
        <v>2.7224931506849317</v>
      </c>
      <c r="J5" s="1">
        <v>1.0900000000000001</v>
      </c>
      <c r="K5" s="1">
        <v>0.9</v>
      </c>
      <c r="L5" s="1">
        <v>26.8</v>
      </c>
      <c r="M5" s="1" t="s">
        <v>40</v>
      </c>
    </row>
    <row r="6" spans="1:13" x14ac:dyDescent="0.25">
      <c r="B6" s="1" t="s">
        <v>39</v>
      </c>
      <c r="C6" s="3">
        <v>5</v>
      </c>
      <c r="D6" s="2">
        <v>131.04114207496124</v>
      </c>
      <c r="E6" s="3">
        <v>0.49050000000000005</v>
      </c>
    </row>
    <row r="7" spans="1:13" x14ac:dyDescent="0.25">
      <c r="B7" s="1" t="s">
        <v>39</v>
      </c>
      <c r="C7" s="3">
        <v>6</v>
      </c>
      <c r="D7" s="2">
        <v>131.19332256416331</v>
      </c>
      <c r="E7" s="3">
        <v>0.49050000000000005</v>
      </c>
    </row>
    <row r="8" spans="1:13" x14ac:dyDescent="0.25">
      <c r="B8" s="1" t="s">
        <v>39</v>
      </c>
      <c r="C8" s="3">
        <v>7</v>
      </c>
      <c r="D8" s="2">
        <v>131.23462817705692</v>
      </c>
      <c r="E8" s="3">
        <v>0.49050000000000005</v>
      </c>
    </row>
    <row r="9" spans="1:13" x14ac:dyDescent="0.25">
      <c r="B9" s="1" t="s">
        <v>39</v>
      </c>
      <c r="C9" s="3">
        <v>8</v>
      </c>
      <c r="D9" s="2">
        <v>131.24583155232278</v>
      </c>
      <c r="E9" s="3">
        <v>0.49050000000000005</v>
      </c>
    </row>
    <row r="10" spans="1:13" x14ac:dyDescent="0.25">
      <c r="B10" s="1" t="s">
        <v>39</v>
      </c>
      <c r="C10" s="3">
        <v>9</v>
      </c>
      <c r="D10" s="2">
        <v>131.24886966966312</v>
      </c>
      <c r="E10" s="3">
        <v>0.49050000000000005</v>
      </c>
    </row>
    <row r="11" spans="1:13" x14ac:dyDescent="0.25">
      <c r="B11" s="1" t="s">
        <v>39</v>
      </c>
      <c r="C11" s="3">
        <v>10</v>
      </c>
      <c r="D11" s="2">
        <v>131.24969349924754</v>
      </c>
      <c r="E11" s="3">
        <v>0.49050000000000005</v>
      </c>
    </row>
    <row r="12" spans="1:13" x14ac:dyDescent="0.25">
      <c r="B12" s="1" t="s">
        <v>39</v>
      </c>
      <c r="C12" s="3">
        <v>11</v>
      </c>
      <c r="D12" s="2">
        <v>131.24991688940599</v>
      </c>
      <c r="E12" s="3">
        <v>0.49050000000000005</v>
      </c>
    </row>
    <row r="13" spans="1:13" x14ac:dyDescent="0.25">
      <c r="B13" s="1" t="s">
        <v>39</v>
      </c>
      <c r="C13" s="3">
        <v>12</v>
      </c>
      <c r="D13" s="2">
        <v>131.24997746379057</v>
      </c>
      <c r="E13" s="3">
        <v>0.49050000000000005</v>
      </c>
    </row>
    <row r="14" spans="1:13" x14ac:dyDescent="0.25">
      <c r="B14" s="1" t="s">
        <v>39</v>
      </c>
      <c r="C14" s="3">
        <v>13</v>
      </c>
      <c r="D14" s="2">
        <v>131.24999388909887</v>
      </c>
      <c r="E14" s="3">
        <v>0.49050000000000005</v>
      </c>
    </row>
    <row r="15" spans="1:13" x14ac:dyDescent="0.25">
      <c r="B15" s="1" t="s">
        <v>39</v>
      </c>
      <c r="C15" s="3">
        <v>14</v>
      </c>
      <c r="D15" s="2">
        <v>131.24999987816321</v>
      </c>
      <c r="E15" s="3">
        <v>0.49050000000000005</v>
      </c>
    </row>
    <row r="16" spans="1:13" x14ac:dyDescent="0.25">
      <c r="B16" s="1" t="s">
        <v>39</v>
      </c>
      <c r="C16" s="3">
        <v>15</v>
      </c>
      <c r="D16" s="2">
        <v>131.24999996696283</v>
      </c>
      <c r="E16" s="3">
        <v>0.49050000000000005</v>
      </c>
    </row>
    <row r="17" spans="2:5" x14ac:dyDescent="0.25">
      <c r="B17" s="1" t="s">
        <v>39</v>
      </c>
      <c r="C17" s="3">
        <v>16</v>
      </c>
      <c r="D17" s="2">
        <v>131.24999999104168</v>
      </c>
      <c r="E17" s="3">
        <v>0.49050000000000005</v>
      </c>
    </row>
    <row r="18" spans="2:5" x14ac:dyDescent="0.25">
      <c r="B18" s="1" t="s">
        <v>39</v>
      </c>
      <c r="C18" s="3">
        <v>17</v>
      </c>
      <c r="D18" s="2">
        <v>131.24999999757088</v>
      </c>
      <c r="E18" s="3">
        <v>0.49050000000000005</v>
      </c>
    </row>
    <row r="19" spans="2:5" x14ac:dyDescent="0.25">
      <c r="B19" s="1" t="s">
        <v>39</v>
      </c>
      <c r="C19" s="3">
        <v>18</v>
      </c>
      <c r="D19" s="2">
        <v>131.24999999934133</v>
      </c>
      <c r="E19" s="3">
        <v>0.49050000000000005</v>
      </c>
    </row>
    <row r="20" spans="2:5" x14ac:dyDescent="0.25">
      <c r="B20" s="1" t="s">
        <v>39</v>
      </c>
      <c r="C20" s="3">
        <v>19</v>
      </c>
      <c r="D20" s="2">
        <v>131.2499999998214</v>
      </c>
      <c r="E20" s="3">
        <v>0.49050000000000005</v>
      </c>
    </row>
    <row r="21" spans="2:5" x14ac:dyDescent="0.25">
      <c r="B21" s="1" t="s">
        <v>39</v>
      </c>
      <c r="C21" s="3">
        <v>20</v>
      </c>
      <c r="D21" s="2">
        <v>131.24999999995157</v>
      </c>
      <c r="E21" s="3">
        <v>0.49050000000000005</v>
      </c>
    </row>
    <row r="22" spans="2:5" x14ac:dyDescent="0.25">
      <c r="B22" s="1" t="s">
        <v>39</v>
      </c>
      <c r="C22" s="3">
        <v>21</v>
      </c>
      <c r="D22" s="2">
        <v>131.24999999998687</v>
      </c>
      <c r="E22" s="3">
        <v>0.49050000000000005</v>
      </c>
    </row>
    <row r="23" spans="2:5" x14ac:dyDescent="0.25">
      <c r="B23" s="1" t="s">
        <v>39</v>
      </c>
      <c r="C23" s="3">
        <v>22</v>
      </c>
      <c r="D23" s="2">
        <v>131.24999999999645</v>
      </c>
      <c r="E23" s="3">
        <v>0.49050000000000005</v>
      </c>
    </row>
    <row r="24" spans="2:5" x14ac:dyDescent="0.25">
      <c r="B24" s="1" t="s">
        <v>39</v>
      </c>
      <c r="C24" s="3">
        <v>23</v>
      </c>
      <c r="D24" s="2">
        <v>131.24999999999903</v>
      </c>
      <c r="E24" s="3">
        <v>0.49050000000000005</v>
      </c>
    </row>
    <row r="25" spans="2:5" x14ac:dyDescent="0.25">
      <c r="B25" s="1" t="s">
        <v>39</v>
      </c>
      <c r="C25" s="3">
        <v>24</v>
      </c>
      <c r="D25" s="2">
        <v>131.24999999999974</v>
      </c>
      <c r="E25" s="3">
        <v>0.49050000000000005</v>
      </c>
    </row>
    <row r="26" spans="2:5" x14ac:dyDescent="0.25">
      <c r="B26" s="1" t="s">
        <v>39</v>
      </c>
      <c r="C26" s="3">
        <v>25</v>
      </c>
      <c r="D26" s="2">
        <v>131.24999999999994</v>
      </c>
      <c r="E26" s="3">
        <v>0.49050000000000005</v>
      </c>
    </row>
    <row r="27" spans="2:5" x14ac:dyDescent="0.25">
      <c r="B27" s="1" t="s">
        <v>39</v>
      </c>
      <c r="C27" s="3">
        <v>26</v>
      </c>
      <c r="D27" s="2">
        <v>131.24999999999997</v>
      </c>
      <c r="E27" s="3">
        <v>0.49050000000000005</v>
      </c>
    </row>
    <row r="28" spans="2:5" x14ac:dyDescent="0.25">
      <c r="B28" s="1" t="s">
        <v>39</v>
      </c>
      <c r="C28" s="3">
        <v>27</v>
      </c>
      <c r="D28" s="2">
        <v>131.25</v>
      </c>
      <c r="E28" s="3">
        <v>0.39240000000000036</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2"/>
  <sheetViews>
    <sheetView workbookViewId="0">
      <selection sqref="A1:XFD1048576"/>
    </sheetView>
  </sheetViews>
  <sheetFormatPr baseColWidth="10" defaultRowHeight="15" x14ac:dyDescent="0.25"/>
  <cols>
    <col min="1" max="4" width="11.42578125" style="1"/>
    <col min="5" max="5" width="12.42578125" style="1" bestFit="1" customWidth="1"/>
    <col min="6" max="16384" width="11.42578125" style="1"/>
  </cols>
  <sheetData>
    <row r="1" spans="1:13" x14ac:dyDescent="0.25">
      <c r="A1" s="1" t="s">
        <v>7</v>
      </c>
      <c r="B1" s="1" t="s">
        <v>8</v>
      </c>
      <c r="C1" s="1" t="s">
        <v>9</v>
      </c>
      <c r="D1" s="1" t="s">
        <v>10</v>
      </c>
      <c r="E1" s="1" t="s">
        <v>11</v>
      </c>
      <c r="F1" s="1" t="s">
        <v>28</v>
      </c>
      <c r="G1" s="1" t="s">
        <v>29</v>
      </c>
      <c r="H1" s="1" t="s">
        <v>30</v>
      </c>
      <c r="I1" s="1" t="s">
        <v>31</v>
      </c>
      <c r="J1" s="1" t="s">
        <v>32</v>
      </c>
      <c r="K1" s="1" t="s">
        <v>35</v>
      </c>
      <c r="L1" s="1" t="s">
        <v>16</v>
      </c>
    </row>
    <row r="2" spans="1:13" x14ac:dyDescent="0.25">
      <c r="A2" s="1" t="s">
        <v>41</v>
      </c>
      <c r="B2" s="1" t="s">
        <v>41</v>
      </c>
      <c r="C2" s="3">
        <v>1</v>
      </c>
      <c r="D2" s="2">
        <v>15.986811682570901</v>
      </c>
      <c r="E2" s="3">
        <v>0.49224657534246558</v>
      </c>
      <c r="F2" s="1">
        <v>101</v>
      </c>
      <c r="G2" s="1">
        <v>1</v>
      </c>
      <c r="H2" s="1">
        <v>0.9</v>
      </c>
      <c r="I2" s="1">
        <v>4</v>
      </c>
      <c r="J2" s="1">
        <v>0.9</v>
      </c>
      <c r="K2" s="1">
        <v>25</v>
      </c>
      <c r="L2" s="1" t="s">
        <v>42</v>
      </c>
    </row>
    <row r="3" spans="1:13" x14ac:dyDescent="0.25">
      <c r="B3" s="1" t="s">
        <v>41</v>
      </c>
      <c r="C3" s="3">
        <v>2</v>
      </c>
      <c r="D3" s="2">
        <v>53.520937562438498</v>
      </c>
      <c r="E3" s="3">
        <v>3.3899999999999997</v>
      </c>
    </row>
    <row r="4" spans="1:13" x14ac:dyDescent="0.25">
      <c r="B4" s="1" t="s">
        <v>41</v>
      </c>
      <c r="C4" s="3">
        <v>3</v>
      </c>
      <c r="D4" s="2">
        <v>85.057773299052556</v>
      </c>
      <c r="E4" s="3">
        <v>3.3899999999999997</v>
      </c>
      <c r="G4" s="1" t="s">
        <v>19</v>
      </c>
      <c r="H4" s="1" t="s">
        <v>20</v>
      </c>
      <c r="I4" s="1" t="s">
        <v>21</v>
      </c>
      <c r="J4" s="1" t="s">
        <v>22</v>
      </c>
      <c r="K4" s="1" t="s">
        <v>23</v>
      </c>
      <c r="L4" s="1" t="s">
        <v>24</v>
      </c>
      <c r="M4" s="1" t="s">
        <v>25</v>
      </c>
    </row>
    <row r="5" spans="1:13" x14ac:dyDescent="0.25">
      <c r="B5" s="1" t="s">
        <v>41</v>
      </c>
      <c r="C5" s="3">
        <v>4</v>
      </c>
      <c r="D5" s="2">
        <v>96.794050612910439</v>
      </c>
      <c r="E5" s="3">
        <v>3.3899999999999997</v>
      </c>
      <c r="G5" s="7">
        <v>101.0521</v>
      </c>
      <c r="H5" s="4">
        <v>0.80776999999999999</v>
      </c>
      <c r="I5" s="8">
        <v>0.85479452054794525</v>
      </c>
      <c r="J5" s="1">
        <v>4.5199999999999996</v>
      </c>
      <c r="K5" s="1">
        <v>1.5</v>
      </c>
      <c r="L5" s="1">
        <v>21</v>
      </c>
      <c r="M5" s="1" t="s">
        <v>40</v>
      </c>
    </row>
    <row r="6" spans="1:13" x14ac:dyDescent="0.25">
      <c r="B6" s="1" t="s">
        <v>41</v>
      </c>
      <c r="C6" s="3">
        <v>5</v>
      </c>
      <c r="D6" s="2">
        <v>99.991523386983488</v>
      </c>
      <c r="E6" s="3">
        <v>3.3899999999999997</v>
      </c>
    </row>
    <row r="7" spans="1:13" x14ac:dyDescent="0.25">
      <c r="B7" s="1" t="s">
        <v>41</v>
      </c>
      <c r="C7" s="3">
        <v>6</v>
      </c>
      <c r="D7" s="2">
        <v>100.79234076154759</v>
      </c>
      <c r="E7" s="3">
        <v>3.3899999999999997</v>
      </c>
    </row>
    <row r="8" spans="1:13" x14ac:dyDescent="0.25">
      <c r="B8" s="1" t="s">
        <v>41</v>
      </c>
      <c r="C8" s="3">
        <v>7</v>
      </c>
      <c r="D8" s="2">
        <v>100.98874139248476</v>
      </c>
      <c r="E8" s="3">
        <v>3.3899999999999997</v>
      </c>
    </row>
    <row r="9" spans="1:13" x14ac:dyDescent="0.25">
      <c r="B9" s="1" t="s">
        <v>41</v>
      </c>
      <c r="C9" s="3">
        <v>8</v>
      </c>
      <c r="D9" s="2">
        <v>101.03666160168079</v>
      </c>
      <c r="E9" s="3">
        <v>3.3899999999999997</v>
      </c>
    </row>
    <row r="10" spans="1:13" x14ac:dyDescent="0.25">
      <c r="B10" s="1" t="s">
        <v>41</v>
      </c>
      <c r="C10" s="3">
        <v>9</v>
      </c>
      <c r="D10" s="2">
        <v>101.04833909717246</v>
      </c>
      <c r="E10" s="3">
        <v>3.3899999999999997</v>
      </c>
    </row>
    <row r="11" spans="1:13" x14ac:dyDescent="0.25">
      <c r="B11" s="1" t="s">
        <v>41</v>
      </c>
      <c r="C11" s="3">
        <v>10</v>
      </c>
      <c r="D11" s="2">
        <v>101.0511838723782</v>
      </c>
      <c r="E11" s="3">
        <v>3.3899999999999997</v>
      </c>
    </row>
    <row r="12" spans="1:13" x14ac:dyDescent="0.25">
      <c r="B12" s="1" t="s">
        <v>41</v>
      </c>
      <c r="C12" s="3">
        <v>11</v>
      </c>
      <c r="D12" s="2">
        <v>101.05187684146182</v>
      </c>
      <c r="E12" s="3">
        <v>3.3899999999999997</v>
      </c>
    </row>
    <row r="13" spans="1:13" x14ac:dyDescent="0.25">
      <c r="B13" s="1" t="s">
        <v>41</v>
      </c>
      <c r="C13" s="3">
        <v>12</v>
      </c>
      <c r="D13" s="2">
        <v>101.05204564124578</v>
      </c>
      <c r="E13" s="3">
        <v>3.3899999999999997</v>
      </c>
    </row>
    <row r="14" spans="1:13" x14ac:dyDescent="0.25">
      <c r="B14" s="1" t="s">
        <v>41</v>
      </c>
      <c r="C14" s="3">
        <v>13</v>
      </c>
      <c r="D14" s="2">
        <v>101.05208675886826</v>
      </c>
      <c r="E14" s="3">
        <v>3.3899999999999997</v>
      </c>
    </row>
    <row r="15" spans="1:13" x14ac:dyDescent="0.25">
      <c r="B15" s="1" t="s">
        <v>41</v>
      </c>
      <c r="C15" s="3">
        <v>14</v>
      </c>
      <c r="D15" s="2">
        <v>101.05209980862216</v>
      </c>
      <c r="E15" s="3">
        <v>3.3899999999999997</v>
      </c>
    </row>
    <row r="16" spans="1:13" x14ac:dyDescent="0.25">
      <c r="B16" s="1" t="s">
        <v>41</v>
      </c>
      <c r="C16" s="3">
        <v>15</v>
      </c>
      <c r="D16" s="2">
        <v>101.05209995338269</v>
      </c>
      <c r="E16" s="3">
        <v>3.3899999999999997</v>
      </c>
    </row>
    <row r="17" spans="2:5" x14ac:dyDescent="0.25">
      <c r="B17" s="1" t="s">
        <v>41</v>
      </c>
      <c r="C17" s="3">
        <v>16</v>
      </c>
      <c r="D17" s="2">
        <v>101.0520999886446</v>
      </c>
      <c r="E17" s="3">
        <v>3.3899999999999997</v>
      </c>
    </row>
    <row r="18" spans="2:5" x14ac:dyDescent="0.25">
      <c r="B18" s="1" t="s">
        <v>41</v>
      </c>
      <c r="C18" s="3">
        <v>17</v>
      </c>
      <c r="D18" s="2">
        <v>101.05209999723395</v>
      </c>
      <c r="E18" s="3">
        <v>3.3899999999999997</v>
      </c>
    </row>
    <row r="19" spans="2:5" x14ac:dyDescent="0.25">
      <c r="B19" s="1" t="s">
        <v>41</v>
      </c>
      <c r="C19" s="3">
        <v>18</v>
      </c>
      <c r="D19" s="2">
        <v>101.05209999932622</v>
      </c>
      <c r="E19" s="3">
        <v>3.3899999999999997</v>
      </c>
    </row>
    <row r="20" spans="2:5" x14ac:dyDescent="0.25">
      <c r="B20" s="1" t="s">
        <v>41</v>
      </c>
      <c r="C20" s="3">
        <v>19</v>
      </c>
      <c r="D20" s="2">
        <v>101.05209999983586</v>
      </c>
      <c r="E20" s="3">
        <v>3.3899999999999997</v>
      </c>
    </row>
    <row r="21" spans="2:5" x14ac:dyDescent="0.25">
      <c r="B21" s="1" t="s">
        <v>41</v>
      </c>
      <c r="C21" s="3">
        <v>20</v>
      </c>
      <c r="D21" s="2">
        <v>101.05209999996002</v>
      </c>
      <c r="E21" s="3">
        <v>3.3899999999999997</v>
      </c>
    </row>
    <row r="22" spans="2:5" x14ac:dyDescent="0.25">
      <c r="B22" s="1" t="s">
        <v>41</v>
      </c>
      <c r="C22" s="3">
        <v>21</v>
      </c>
      <c r="D22" s="2">
        <v>101.05209999999026</v>
      </c>
      <c r="E22" s="3">
        <v>3.3899999999999997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9"/>
  <sheetViews>
    <sheetView workbookViewId="0">
      <selection sqref="A1:XFD1048576"/>
    </sheetView>
  </sheetViews>
  <sheetFormatPr baseColWidth="10" defaultRowHeight="15" x14ac:dyDescent="0.25"/>
  <cols>
    <col min="1" max="16384" width="11.42578125" style="1"/>
  </cols>
  <sheetData>
    <row r="1" spans="1:13" x14ac:dyDescent="0.25">
      <c r="A1" s="1" t="s">
        <v>7</v>
      </c>
      <c r="B1" s="1" t="s">
        <v>8</v>
      </c>
      <c r="C1" s="1" t="s">
        <v>9</v>
      </c>
      <c r="D1" s="1" t="s">
        <v>10</v>
      </c>
      <c r="E1" s="1" t="s">
        <v>11</v>
      </c>
      <c r="F1" s="1" t="s">
        <v>28</v>
      </c>
      <c r="G1" s="1" t="s">
        <v>29</v>
      </c>
      <c r="H1" s="1" t="s">
        <v>30</v>
      </c>
      <c r="I1" s="1" t="s">
        <v>31</v>
      </c>
      <c r="J1" s="1" t="s">
        <v>32</v>
      </c>
      <c r="K1" s="1" t="s">
        <v>35</v>
      </c>
      <c r="L1" s="1" t="s">
        <v>16</v>
      </c>
    </row>
    <row r="2" spans="1:13" x14ac:dyDescent="0.25">
      <c r="A2" s="1" t="s">
        <v>45</v>
      </c>
      <c r="B2" s="1" t="s">
        <v>45</v>
      </c>
      <c r="C2" s="3">
        <v>1</v>
      </c>
      <c r="D2" s="2">
        <v>8.8009364983548064</v>
      </c>
      <c r="E2" s="3">
        <v>0</v>
      </c>
      <c r="F2" s="1">
        <v>22.5</v>
      </c>
      <c r="G2" s="1">
        <v>1</v>
      </c>
      <c r="H2" s="1">
        <v>2</v>
      </c>
      <c r="I2" s="1">
        <v>1.6</v>
      </c>
      <c r="J2" s="1">
        <v>1</v>
      </c>
      <c r="K2" s="1">
        <v>15</v>
      </c>
      <c r="L2" s="1" t="s">
        <v>37</v>
      </c>
    </row>
    <row r="3" spans="1:13" x14ac:dyDescent="0.25">
      <c r="B3" s="1" t="s">
        <v>45</v>
      </c>
      <c r="C3" s="3">
        <v>2</v>
      </c>
      <c r="D3" s="2">
        <v>19.067458537354185</v>
      </c>
      <c r="E3" s="3">
        <v>0</v>
      </c>
    </row>
    <row r="4" spans="1:13" x14ac:dyDescent="0.25">
      <c r="B4" s="1" t="s">
        <v>45</v>
      </c>
      <c r="C4" s="3">
        <v>3</v>
      </c>
      <c r="D4" s="2">
        <v>22.079103756903262</v>
      </c>
      <c r="E4" s="3">
        <v>0.98450000000000015</v>
      </c>
      <c r="G4" s="1" t="s">
        <v>19</v>
      </c>
      <c r="H4" s="1" t="s">
        <v>20</v>
      </c>
      <c r="I4" s="1" t="s">
        <v>21</v>
      </c>
      <c r="J4" s="1" t="s">
        <v>22</v>
      </c>
      <c r="K4" s="1" t="s">
        <v>23</v>
      </c>
      <c r="L4" s="1" t="s">
        <v>24</v>
      </c>
      <c r="M4" s="1" t="s">
        <v>25</v>
      </c>
    </row>
    <row r="5" spans="1:13" x14ac:dyDescent="0.25">
      <c r="B5" s="1" t="s">
        <v>45</v>
      </c>
      <c r="C5" s="3">
        <v>4</v>
      </c>
      <c r="D5" s="2">
        <v>22.453784402301849</v>
      </c>
      <c r="E5" s="3">
        <v>0.98450000000000015</v>
      </c>
      <c r="G5" s="7">
        <v>22.5</v>
      </c>
      <c r="H5" s="4">
        <v>1.20855</v>
      </c>
      <c r="I5" s="1">
        <v>2</v>
      </c>
      <c r="J5" s="1">
        <v>1.79</v>
      </c>
      <c r="K5" s="1">
        <v>1.1000000000000001</v>
      </c>
      <c r="L5" s="1">
        <v>17</v>
      </c>
      <c r="M5" s="1" t="s">
        <v>40</v>
      </c>
    </row>
    <row r="6" spans="1:13" x14ac:dyDescent="0.25">
      <c r="B6" s="1" t="s">
        <v>45</v>
      </c>
      <c r="C6" s="3">
        <v>5</v>
      </c>
      <c r="D6" s="2">
        <v>22.494987888891011</v>
      </c>
      <c r="E6" s="3">
        <v>0.98450000000000015</v>
      </c>
    </row>
    <row r="7" spans="1:13" x14ac:dyDescent="0.25">
      <c r="B7" s="1" t="s">
        <v>45</v>
      </c>
      <c r="C7" s="3">
        <v>6</v>
      </c>
      <c r="D7" s="2">
        <v>22.499457165007058</v>
      </c>
      <c r="E7" s="3">
        <v>0.98450000000000015</v>
      </c>
    </row>
    <row r="8" spans="1:13" x14ac:dyDescent="0.25">
      <c r="B8" s="1" t="s">
        <v>45</v>
      </c>
      <c r="C8" s="3">
        <v>7</v>
      </c>
      <c r="D8" s="2">
        <v>22.499941217018328</v>
      </c>
      <c r="E8" s="3">
        <v>0.98450000000000015</v>
      </c>
    </row>
    <row r="9" spans="1:13" x14ac:dyDescent="0.25">
      <c r="B9" s="1" t="s">
        <v>45</v>
      </c>
      <c r="C9" s="3">
        <v>8</v>
      </c>
      <c r="D9" s="2">
        <v>22.499993634558606</v>
      </c>
      <c r="E9" s="3">
        <v>0.98450000000000015</v>
      </c>
    </row>
    <row r="10" spans="1:13" x14ac:dyDescent="0.25">
      <c r="B10" s="1" t="s">
        <v>45</v>
      </c>
      <c r="C10" s="3">
        <v>9</v>
      </c>
      <c r="D10" s="2">
        <v>22.499999310705686</v>
      </c>
      <c r="E10" s="3">
        <v>0.98450000000000015</v>
      </c>
    </row>
    <row r="11" spans="1:13" x14ac:dyDescent="0.25">
      <c r="B11" s="1" t="s">
        <v>45</v>
      </c>
      <c r="C11" s="3">
        <v>10</v>
      </c>
      <c r="D11" s="2">
        <v>22.499999925358424</v>
      </c>
      <c r="E11" s="3">
        <v>0.98450000000000015</v>
      </c>
    </row>
    <row r="12" spans="1:13" x14ac:dyDescent="0.25">
      <c r="B12" s="1" t="s">
        <v>45</v>
      </c>
      <c r="C12" s="3">
        <v>11</v>
      </c>
      <c r="D12" s="2">
        <v>22.499999991917292</v>
      </c>
      <c r="E12" s="3">
        <v>0.98450000000000015</v>
      </c>
    </row>
    <row r="13" spans="1:13" x14ac:dyDescent="0.25">
      <c r="B13" s="1" t="s">
        <v>45</v>
      </c>
      <c r="C13" s="3">
        <v>12</v>
      </c>
      <c r="D13" s="2">
        <v>22.49999999912475</v>
      </c>
      <c r="E13" s="3">
        <v>0.98450000000000015</v>
      </c>
    </row>
    <row r="14" spans="1:13" x14ac:dyDescent="0.25">
      <c r="B14" s="1" t="s">
        <v>45</v>
      </c>
      <c r="C14" s="3">
        <v>13</v>
      </c>
      <c r="D14" s="2">
        <v>22.499999999905224</v>
      </c>
      <c r="E14" s="3">
        <v>0.98450000000000015</v>
      </c>
    </row>
    <row r="15" spans="1:13" x14ac:dyDescent="0.25">
      <c r="B15" s="1" t="s">
        <v>45</v>
      </c>
      <c r="C15" s="3">
        <v>14</v>
      </c>
      <c r="D15" s="2">
        <v>22.499999999989736</v>
      </c>
      <c r="E15" s="3">
        <v>0.98450000000000015</v>
      </c>
    </row>
    <row r="16" spans="1:13" x14ac:dyDescent="0.25">
      <c r="B16" s="1" t="s">
        <v>45</v>
      </c>
      <c r="C16" s="3">
        <v>15</v>
      </c>
      <c r="D16" s="2">
        <v>22.499999999998888</v>
      </c>
      <c r="E16" s="3">
        <v>0.98450000000000015</v>
      </c>
    </row>
    <row r="17" spans="2:5" x14ac:dyDescent="0.25">
      <c r="B17" s="1" t="s">
        <v>45</v>
      </c>
      <c r="C17" s="3">
        <v>16</v>
      </c>
      <c r="D17" s="2">
        <v>22.499999999999879</v>
      </c>
      <c r="E17" s="3">
        <v>0.98450000000000015</v>
      </c>
    </row>
    <row r="18" spans="2:5" x14ac:dyDescent="0.25">
      <c r="B18" s="1" t="s">
        <v>45</v>
      </c>
      <c r="C18" s="3">
        <v>17</v>
      </c>
      <c r="D18" s="2">
        <v>22.499999999999986</v>
      </c>
      <c r="E18" s="3">
        <v>0.98450000000000015</v>
      </c>
    </row>
    <row r="19" spans="2:5" x14ac:dyDescent="0.25">
      <c r="C19" s="3"/>
      <c r="D19"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1"/>
  <sheetViews>
    <sheetView workbookViewId="0">
      <selection sqref="A1:XFD1048576"/>
    </sheetView>
  </sheetViews>
  <sheetFormatPr baseColWidth="10" defaultRowHeight="15" x14ac:dyDescent="0.25"/>
  <cols>
    <col min="1" max="16384" width="11.42578125" style="1"/>
  </cols>
  <sheetData>
    <row r="1" spans="1:13" x14ac:dyDescent="0.25">
      <c r="A1" s="1" t="s">
        <v>7</v>
      </c>
      <c r="B1" s="1" t="s">
        <v>8</v>
      </c>
      <c r="C1" s="1" t="s">
        <v>9</v>
      </c>
      <c r="D1" s="1" t="s">
        <v>10</v>
      </c>
      <c r="E1" s="1" t="s">
        <v>11</v>
      </c>
      <c r="F1" s="1" t="s">
        <v>28</v>
      </c>
      <c r="G1" s="1" t="s">
        <v>29</v>
      </c>
      <c r="H1" s="1" t="s">
        <v>30</v>
      </c>
      <c r="I1" s="1" t="s">
        <v>31</v>
      </c>
      <c r="J1" s="1" t="s">
        <v>32</v>
      </c>
      <c r="K1" s="1" t="s">
        <v>35</v>
      </c>
      <c r="L1" s="1" t="s">
        <v>16</v>
      </c>
    </row>
    <row r="2" spans="1:13" x14ac:dyDescent="0.25">
      <c r="A2" s="1" t="s">
        <v>43</v>
      </c>
      <c r="B2" s="1" t="s">
        <v>43</v>
      </c>
      <c r="C2" s="3">
        <v>1</v>
      </c>
      <c r="D2" s="2">
        <v>16.667147221196778</v>
      </c>
      <c r="E2" s="3">
        <v>0</v>
      </c>
      <c r="F2" s="1">
        <v>50</v>
      </c>
      <c r="G2" s="1">
        <v>1</v>
      </c>
      <c r="H2" s="1">
        <v>2</v>
      </c>
      <c r="I2" s="1">
        <v>1.5</v>
      </c>
      <c r="J2" s="1">
        <v>2</v>
      </c>
      <c r="K2" s="1">
        <v>12</v>
      </c>
      <c r="L2" s="1" t="s">
        <v>37</v>
      </c>
    </row>
    <row r="3" spans="1:13" x14ac:dyDescent="0.25">
      <c r="B3" s="1" t="s">
        <v>43</v>
      </c>
      <c r="C3" s="3">
        <v>2</v>
      </c>
      <c r="D3" s="2">
        <v>38.144142902455059</v>
      </c>
      <c r="E3" s="3">
        <v>0</v>
      </c>
    </row>
    <row r="4" spans="1:13" x14ac:dyDescent="0.25">
      <c r="B4" s="1" t="s">
        <v>43</v>
      </c>
      <c r="C4" s="3">
        <v>3</v>
      </c>
      <c r="D4" s="2">
        <v>47.552513773839486</v>
      </c>
      <c r="E4" s="3">
        <v>0</v>
      </c>
      <c r="G4" s="1" t="s">
        <v>19</v>
      </c>
      <c r="H4" s="1" t="s">
        <v>20</v>
      </c>
      <c r="I4" s="1" t="s">
        <v>21</v>
      </c>
      <c r="J4" s="1" t="s">
        <v>22</v>
      </c>
      <c r="K4" s="1" t="s">
        <v>23</v>
      </c>
      <c r="L4" s="1" t="s">
        <v>24</v>
      </c>
      <c r="M4" s="1" t="s">
        <v>25</v>
      </c>
    </row>
    <row r="5" spans="1:13" x14ac:dyDescent="0.25">
      <c r="B5" s="1" t="s">
        <v>43</v>
      </c>
      <c r="C5" s="3">
        <v>4</v>
      </c>
      <c r="D5" s="2">
        <v>49.559816528643907</v>
      </c>
      <c r="E5" s="3">
        <v>0.60500000000000009</v>
      </c>
      <c r="G5" s="9">
        <v>50</v>
      </c>
      <c r="H5" s="1">
        <v>2.9</v>
      </c>
      <c r="I5" s="8">
        <v>3</v>
      </c>
      <c r="J5" s="1">
        <v>1.1000000000000001</v>
      </c>
      <c r="K5" s="1">
        <v>1.1000000000000001</v>
      </c>
      <c r="L5" s="1">
        <v>16</v>
      </c>
      <c r="M5" s="1" t="s">
        <v>40</v>
      </c>
    </row>
    <row r="6" spans="1:13" x14ac:dyDescent="0.25">
      <c r="B6" s="1" t="s">
        <v>43</v>
      </c>
      <c r="C6" s="3">
        <v>5</v>
      </c>
      <c r="D6" s="2">
        <v>49.922830365514791</v>
      </c>
      <c r="E6" s="3">
        <v>0.60500000000000009</v>
      </c>
    </row>
    <row r="7" spans="1:13" x14ac:dyDescent="0.25">
      <c r="B7" s="1" t="s">
        <v>43</v>
      </c>
      <c r="C7" s="3">
        <v>6</v>
      </c>
      <c r="D7" s="2">
        <v>49.986531995795943</v>
      </c>
      <c r="E7" s="3">
        <v>0.60500000000000009</v>
      </c>
    </row>
    <row r="8" spans="1:13" x14ac:dyDescent="0.25">
      <c r="B8" s="1" t="s">
        <v>43</v>
      </c>
      <c r="C8" s="3">
        <v>7</v>
      </c>
      <c r="D8" s="2">
        <v>49.997651349514449</v>
      </c>
      <c r="E8" s="3">
        <v>0.60500000000000009</v>
      </c>
    </row>
    <row r="9" spans="1:13" x14ac:dyDescent="0.25">
      <c r="B9" s="1" t="s">
        <v>43</v>
      </c>
      <c r="C9" s="3">
        <v>8</v>
      </c>
      <c r="D9" s="2">
        <v>49.999590481097982</v>
      </c>
      <c r="E9" s="3">
        <v>0.60500000000000009</v>
      </c>
    </row>
    <row r="10" spans="1:13" x14ac:dyDescent="0.25">
      <c r="B10" s="1" t="s">
        <v>43</v>
      </c>
      <c r="C10" s="3">
        <v>9</v>
      </c>
      <c r="D10" s="2">
        <v>49.999928596562206</v>
      </c>
      <c r="E10" s="3">
        <v>0.60500000000000009</v>
      </c>
    </row>
    <row r="11" spans="1:13" x14ac:dyDescent="0.25">
      <c r="B11" s="1" t="s">
        <v>43</v>
      </c>
      <c r="C11" s="3">
        <v>10</v>
      </c>
      <c r="D11" s="2">
        <v>49.999987550196977</v>
      </c>
      <c r="E11" s="3">
        <v>0.60500000000000009</v>
      </c>
    </row>
    <row r="12" spans="1:13" x14ac:dyDescent="0.25">
      <c r="B12" s="1" t="s">
        <v>43</v>
      </c>
      <c r="C12" s="3">
        <v>11</v>
      </c>
      <c r="D12" s="2">
        <v>49.999997829271429</v>
      </c>
      <c r="E12" s="3">
        <v>0.60500000000000009</v>
      </c>
    </row>
    <row r="13" spans="1:13" x14ac:dyDescent="0.25">
      <c r="B13" s="1" t="s">
        <v>43</v>
      </c>
      <c r="C13" s="3">
        <v>12</v>
      </c>
      <c r="D13" s="2">
        <v>49.999999621515137</v>
      </c>
      <c r="E13" s="3">
        <v>0.60500000000000009</v>
      </c>
    </row>
    <row r="14" spans="1:13" x14ac:dyDescent="0.25">
      <c r="B14" s="1" t="s">
        <v>43</v>
      </c>
      <c r="C14" s="3">
        <v>13</v>
      </c>
      <c r="D14" s="2">
        <v>49.999999934007967</v>
      </c>
      <c r="E14" s="3">
        <v>0.60500000000000009</v>
      </c>
    </row>
    <row r="15" spans="1:13" x14ac:dyDescent="0.25">
      <c r="B15" s="1" t="s">
        <v>43</v>
      </c>
      <c r="C15" s="3">
        <v>14</v>
      </c>
      <c r="D15" s="2">
        <v>49.999999988493727</v>
      </c>
      <c r="E15" s="3">
        <v>0.60500000000000009</v>
      </c>
    </row>
    <row r="16" spans="1:13" x14ac:dyDescent="0.25">
      <c r="B16" s="1" t="s">
        <v>43</v>
      </c>
      <c r="C16" s="3">
        <v>15</v>
      </c>
      <c r="D16" s="2">
        <v>49.999999997993783</v>
      </c>
      <c r="E16" s="3">
        <v>0.60500000000000009</v>
      </c>
    </row>
    <row r="17" spans="2:5" x14ac:dyDescent="0.25">
      <c r="B17" s="1" t="s">
        <v>43</v>
      </c>
      <c r="C17" s="3">
        <v>16</v>
      </c>
      <c r="D17" s="2">
        <v>49.9999999996502</v>
      </c>
      <c r="E17" s="3">
        <v>0.60500000000000009</v>
      </c>
    </row>
    <row r="18" spans="2:5" x14ac:dyDescent="0.25">
      <c r="C18" s="3"/>
      <c r="D18" s="2"/>
    </row>
    <row r="19" spans="2:5" x14ac:dyDescent="0.25">
      <c r="C19" s="3"/>
      <c r="D19" s="2"/>
    </row>
    <row r="20" spans="2:5" x14ac:dyDescent="0.25">
      <c r="C20" s="3"/>
      <c r="D20" s="2"/>
    </row>
    <row r="21" spans="2:5" x14ac:dyDescent="0.25">
      <c r="C21" s="3"/>
      <c r="D21"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3"/>
  <sheetViews>
    <sheetView workbookViewId="0">
      <selection sqref="A1:XFD1048576"/>
    </sheetView>
  </sheetViews>
  <sheetFormatPr baseColWidth="10" defaultRowHeight="15" x14ac:dyDescent="0.25"/>
  <cols>
    <col min="1" max="16384" width="11.42578125" style="1"/>
  </cols>
  <sheetData>
    <row r="1" spans="1:13" x14ac:dyDescent="0.25">
      <c r="A1" s="1" t="s">
        <v>7</v>
      </c>
      <c r="B1" s="1" t="s">
        <v>8</v>
      </c>
      <c r="C1" s="1" t="s">
        <v>9</v>
      </c>
      <c r="D1" s="1" t="s">
        <v>10</v>
      </c>
      <c r="E1" s="1" t="s">
        <v>11</v>
      </c>
      <c r="F1" s="1" t="s">
        <v>28</v>
      </c>
      <c r="G1" s="1" t="s">
        <v>29</v>
      </c>
      <c r="H1" s="1" t="s">
        <v>30</v>
      </c>
      <c r="I1" s="1" t="s">
        <v>31</v>
      </c>
      <c r="J1" s="1" t="s">
        <v>32</v>
      </c>
      <c r="K1" s="1" t="s">
        <v>35</v>
      </c>
      <c r="L1" s="1" t="s">
        <v>16</v>
      </c>
    </row>
    <row r="2" spans="1:13" x14ac:dyDescent="0.25">
      <c r="A2" s="1" t="s">
        <v>44</v>
      </c>
      <c r="B2" s="1" t="s">
        <v>44</v>
      </c>
      <c r="C2" s="3">
        <v>1</v>
      </c>
      <c r="D2" s="8">
        <v>10.864723226836455</v>
      </c>
      <c r="E2" s="3">
        <v>0</v>
      </c>
      <c r="F2" s="1">
        <v>26</v>
      </c>
      <c r="G2" s="1">
        <v>0.54</v>
      </c>
      <c r="H2" s="1">
        <v>2</v>
      </c>
      <c r="I2" s="1">
        <v>1</v>
      </c>
      <c r="J2" s="1">
        <v>2.4</v>
      </c>
      <c r="K2" s="1">
        <v>10</v>
      </c>
      <c r="L2" s="1" t="s">
        <v>37</v>
      </c>
    </row>
    <row r="3" spans="1:13" x14ac:dyDescent="0.25">
      <c r="B3" s="1" t="s">
        <v>44</v>
      </c>
      <c r="C3" s="3">
        <v>2</v>
      </c>
      <c r="D3" s="8">
        <v>22.341824014286498</v>
      </c>
      <c r="E3" s="3">
        <v>0</v>
      </c>
    </row>
    <row r="4" spans="1:13" x14ac:dyDescent="0.25">
      <c r="B4" s="1" t="s">
        <v>44</v>
      </c>
      <c r="C4" s="3">
        <v>3</v>
      </c>
      <c r="D4" s="8">
        <v>25.597809431057861</v>
      </c>
      <c r="E4" s="3">
        <v>0</v>
      </c>
      <c r="G4" s="1" t="s">
        <v>19</v>
      </c>
      <c r="H4" s="1" t="s">
        <v>20</v>
      </c>
      <c r="I4" s="1" t="s">
        <v>21</v>
      </c>
      <c r="J4" s="1" t="s">
        <v>22</v>
      </c>
      <c r="K4" s="1" t="s">
        <v>23</v>
      </c>
      <c r="L4" s="1" t="s">
        <v>24</v>
      </c>
      <c r="M4" s="1" t="s">
        <v>25</v>
      </c>
    </row>
    <row r="5" spans="1:13" x14ac:dyDescent="0.25">
      <c r="B5" s="1" t="s">
        <v>44</v>
      </c>
      <c r="C5" s="3">
        <v>4</v>
      </c>
      <c r="D5" s="8">
        <v>26.039216004937785</v>
      </c>
      <c r="E5" s="3">
        <v>0.13750000000000001</v>
      </c>
      <c r="G5" s="7">
        <v>26.1</v>
      </c>
      <c r="H5" s="4">
        <v>2.25</v>
      </c>
      <c r="I5" s="8">
        <v>3.75</v>
      </c>
      <c r="J5" s="1">
        <v>1</v>
      </c>
      <c r="K5" s="1">
        <v>1.1000000000000001</v>
      </c>
      <c r="L5" s="1">
        <v>22</v>
      </c>
      <c r="M5" s="1" t="s">
        <v>40</v>
      </c>
    </row>
    <row r="6" spans="1:13" x14ac:dyDescent="0.25">
      <c r="B6" s="1" t="s">
        <v>44</v>
      </c>
      <c r="C6" s="3">
        <v>5</v>
      </c>
      <c r="D6" s="8">
        <v>26.092732167988455</v>
      </c>
      <c r="E6" s="3">
        <v>0.55000000000000004</v>
      </c>
    </row>
    <row r="7" spans="1:13" x14ac:dyDescent="0.25">
      <c r="B7" s="1" t="s">
        <v>44</v>
      </c>
      <c r="C7" s="3">
        <v>6</v>
      </c>
      <c r="D7" s="8">
        <v>26.099132269739727</v>
      </c>
      <c r="E7" s="3">
        <v>0.55000000000000004</v>
      </c>
    </row>
    <row r="8" spans="1:13" x14ac:dyDescent="0.25">
      <c r="B8" s="1" t="s">
        <v>44</v>
      </c>
      <c r="C8" s="3">
        <v>7</v>
      </c>
      <c r="D8" s="8">
        <v>26.099896416954248</v>
      </c>
      <c r="E8" s="3">
        <v>0.55000000000000004</v>
      </c>
    </row>
    <row r="9" spans="1:13" x14ac:dyDescent="0.25">
      <c r="B9" s="1" t="s">
        <v>44</v>
      </c>
      <c r="C9" s="3">
        <v>8</v>
      </c>
      <c r="D9" s="8">
        <v>26.099987635301051</v>
      </c>
      <c r="E9" s="3">
        <v>0.55000000000000004</v>
      </c>
    </row>
    <row r="10" spans="1:13" x14ac:dyDescent="0.25">
      <c r="B10" s="1" t="s">
        <v>44</v>
      </c>
      <c r="C10" s="3">
        <v>9</v>
      </c>
      <c r="D10" s="8">
        <v>26.099998524030664</v>
      </c>
      <c r="E10" s="3">
        <v>0.55000000000000004</v>
      </c>
    </row>
    <row r="11" spans="1:13" x14ac:dyDescent="0.25">
      <c r="B11" s="1" t="s">
        <v>44</v>
      </c>
      <c r="C11" s="3">
        <v>10</v>
      </c>
      <c r="D11" s="8">
        <v>26.099999823814162</v>
      </c>
      <c r="E11" s="3">
        <v>0.55000000000000004</v>
      </c>
    </row>
    <row r="12" spans="1:13" x14ac:dyDescent="0.25">
      <c r="B12" s="1" t="s">
        <v>44</v>
      </c>
      <c r="C12" s="3">
        <v>11</v>
      </c>
      <c r="D12" s="8">
        <v>26.099999978968771</v>
      </c>
      <c r="E12" s="3">
        <v>0.55000000000000004</v>
      </c>
    </row>
    <row r="13" spans="1:13" x14ac:dyDescent="0.25">
      <c r="B13" s="1" t="s">
        <v>44</v>
      </c>
      <c r="C13" s="3">
        <v>12</v>
      </c>
      <c r="D13" s="8">
        <v>26.099999997489512</v>
      </c>
      <c r="E13" s="3">
        <v>0.55000000000000004</v>
      </c>
    </row>
    <row r="14" spans="1:13" x14ac:dyDescent="0.25">
      <c r="B14" s="1" t="s">
        <v>44</v>
      </c>
      <c r="C14" s="3">
        <v>13</v>
      </c>
      <c r="D14" s="8">
        <v>26.099999999700326</v>
      </c>
      <c r="E14" s="3">
        <v>0.55000000000000004</v>
      </c>
    </row>
    <row r="15" spans="1:13" x14ac:dyDescent="0.25">
      <c r="B15" s="1" t="s">
        <v>44</v>
      </c>
      <c r="C15" s="3">
        <v>14</v>
      </c>
      <c r="D15" s="8">
        <v>26.099999999964229</v>
      </c>
      <c r="E15" s="3">
        <v>0.55000000000000004</v>
      </c>
    </row>
    <row r="16" spans="1:13" x14ac:dyDescent="0.25">
      <c r="B16" s="1" t="s">
        <v>44</v>
      </c>
      <c r="C16" s="3">
        <v>15</v>
      </c>
      <c r="D16" s="8">
        <v>26.099999999995728</v>
      </c>
      <c r="E16" s="3">
        <v>0.55000000000000004</v>
      </c>
    </row>
    <row r="17" spans="2:5" x14ac:dyDescent="0.25">
      <c r="B17" s="1" t="s">
        <v>44</v>
      </c>
      <c r="C17" s="3">
        <v>16</v>
      </c>
      <c r="D17" s="8">
        <v>26.09999999999949</v>
      </c>
      <c r="E17" s="3">
        <v>0.55000000000000004</v>
      </c>
    </row>
    <row r="18" spans="2:5" x14ac:dyDescent="0.25">
      <c r="B18" s="1" t="s">
        <v>44</v>
      </c>
      <c r="C18" s="3">
        <v>17</v>
      </c>
      <c r="D18" s="8">
        <v>26.099999999999941</v>
      </c>
      <c r="E18" s="3">
        <v>0.55000000000000004</v>
      </c>
    </row>
    <row r="19" spans="2:5" x14ac:dyDescent="0.25">
      <c r="B19" s="1" t="s">
        <v>44</v>
      </c>
      <c r="C19" s="3">
        <v>18</v>
      </c>
      <c r="D19" s="8">
        <v>26.099999999999994</v>
      </c>
      <c r="E19" s="3">
        <v>0.55000000000000004</v>
      </c>
    </row>
    <row r="20" spans="2:5" x14ac:dyDescent="0.25">
      <c r="B20" s="1" t="s">
        <v>44</v>
      </c>
      <c r="C20" s="3">
        <v>19</v>
      </c>
      <c r="D20" s="8">
        <v>26.1</v>
      </c>
      <c r="E20" s="3">
        <v>0.55000000000000004</v>
      </c>
    </row>
    <row r="21" spans="2:5" x14ac:dyDescent="0.25">
      <c r="B21" s="1" t="s">
        <v>44</v>
      </c>
      <c r="C21" s="3">
        <v>20</v>
      </c>
      <c r="D21" s="8">
        <v>26.1</v>
      </c>
      <c r="E21" s="3">
        <v>0.55000000000000004</v>
      </c>
    </row>
    <row r="22" spans="2:5" x14ac:dyDescent="0.25">
      <c r="B22" s="1" t="s">
        <v>44</v>
      </c>
      <c r="C22" s="3">
        <v>21</v>
      </c>
      <c r="D22" s="8">
        <v>26.1</v>
      </c>
      <c r="E22" s="3">
        <v>0.55000000000000004</v>
      </c>
    </row>
    <row r="23" spans="2:5" x14ac:dyDescent="0.25">
      <c r="B23" s="1" t="s">
        <v>44</v>
      </c>
      <c r="C23" s="3">
        <v>22</v>
      </c>
      <c r="D23" s="8">
        <v>26.1</v>
      </c>
      <c r="E23" s="3">
        <v>0.55000000000000004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9"/>
  <sheetViews>
    <sheetView workbookViewId="0">
      <selection sqref="A1:XFD1048576"/>
    </sheetView>
  </sheetViews>
  <sheetFormatPr baseColWidth="10" defaultRowHeight="15" x14ac:dyDescent="0.25"/>
  <cols>
    <col min="1" max="16384" width="11.42578125" style="1"/>
  </cols>
  <sheetData>
    <row r="1" spans="1:13" x14ac:dyDescent="0.25">
      <c r="A1" s="1" t="s">
        <v>7</v>
      </c>
      <c r="B1" s="1" t="s">
        <v>8</v>
      </c>
      <c r="C1" s="1" t="s">
        <v>9</v>
      </c>
      <c r="D1" s="1" t="s">
        <v>10</v>
      </c>
      <c r="E1" s="1" t="s">
        <v>11</v>
      </c>
      <c r="F1" s="1" t="s">
        <v>28</v>
      </c>
      <c r="G1" s="1" t="s">
        <v>29</v>
      </c>
      <c r="H1" s="1" t="s">
        <v>30</v>
      </c>
      <c r="I1" s="1" t="s">
        <v>31</v>
      </c>
      <c r="J1" s="1" t="s">
        <v>32</v>
      </c>
      <c r="K1" s="1" t="s">
        <v>35</v>
      </c>
      <c r="L1" s="1" t="s">
        <v>16</v>
      </c>
    </row>
    <row r="2" spans="1:13" x14ac:dyDescent="0.25">
      <c r="A2" s="1" t="s">
        <v>46</v>
      </c>
      <c r="B2" s="1" t="s">
        <v>46</v>
      </c>
      <c r="C2" s="3">
        <v>1</v>
      </c>
      <c r="D2" s="3">
        <v>0.96262692965386154</v>
      </c>
      <c r="E2" s="1">
        <v>0.9</v>
      </c>
      <c r="F2" s="1">
        <v>2</v>
      </c>
      <c r="G2" s="1">
        <v>0.2</v>
      </c>
      <c r="H2" s="1">
        <v>2</v>
      </c>
      <c r="I2" s="1">
        <v>4.3</v>
      </c>
      <c r="J2" s="1">
        <v>0.5</v>
      </c>
      <c r="K2" s="1">
        <v>8</v>
      </c>
      <c r="L2" s="1" t="s">
        <v>37</v>
      </c>
      <c r="M2" s="1">
        <v>7.8602153424657502</v>
      </c>
    </row>
    <row r="3" spans="1:13" x14ac:dyDescent="0.25">
      <c r="B3" s="1" t="s">
        <v>46</v>
      </c>
      <c r="C3" s="3">
        <v>2</v>
      </c>
      <c r="D3" s="3">
        <v>1.9218693539698786</v>
      </c>
      <c r="E3" s="1">
        <v>11.790000000000001</v>
      </c>
    </row>
    <row r="4" spans="1:13" x14ac:dyDescent="0.25">
      <c r="B4" s="1" t="s">
        <v>46</v>
      </c>
      <c r="C4" s="3">
        <v>3</v>
      </c>
      <c r="D4" s="3">
        <v>1.9579440414066094</v>
      </c>
      <c r="E4" s="1">
        <v>11.790000000000001</v>
      </c>
      <c r="G4" s="1" t="s">
        <v>19</v>
      </c>
      <c r="H4" s="1" t="s">
        <v>20</v>
      </c>
      <c r="I4" s="1" t="s">
        <v>21</v>
      </c>
      <c r="J4" s="1" t="s">
        <v>22</v>
      </c>
      <c r="K4" s="1" t="s">
        <v>23</v>
      </c>
      <c r="L4" s="1" t="s">
        <v>24</v>
      </c>
      <c r="M4" s="1" t="s">
        <v>25</v>
      </c>
    </row>
    <row r="5" spans="1:13" x14ac:dyDescent="0.25">
      <c r="B5" s="1" t="s">
        <v>46</v>
      </c>
      <c r="C5" s="3">
        <v>4</v>
      </c>
      <c r="D5" s="3">
        <v>1.9582965846378302</v>
      </c>
      <c r="E5" s="1">
        <v>11.790000000000001</v>
      </c>
      <c r="G5" s="10">
        <v>1.9582999999999999</v>
      </c>
      <c r="H5" s="4">
        <v>3.9109999999999999E-2</v>
      </c>
      <c r="I5" s="8">
        <f>121.66/365</f>
        <v>0.33331506849315068</v>
      </c>
      <c r="J5" s="1">
        <v>5.24</v>
      </c>
      <c r="K5" s="1">
        <v>4.5</v>
      </c>
      <c r="L5" s="1">
        <f>216/12</f>
        <v>18</v>
      </c>
      <c r="M5" s="1" t="s">
        <v>40</v>
      </c>
    </row>
    <row r="6" spans="1:13" x14ac:dyDescent="0.25">
      <c r="B6" s="1" t="s">
        <v>46</v>
      </c>
      <c r="C6" s="3">
        <v>5</v>
      </c>
      <c r="D6" s="3">
        <v>1.9582999672359138</v>
      </c>
      <c r="E6" s="1">
        <v>11.790000000000001</v>
      </c>
    </row>
    <row r="7" spans="1:13" x14ac:dyDescent="0.25">
      <c r="B7" s="1" t="s">
        <v>46</v>
      </c>
      <c r="C7" s="3">
        <v>6</v>
      </c>
      <c r="D7" s="3">
        <v>1.9582999996856898</v>
      </c>
      <c r="E7" s="1">
        <v>11.790000000000001</v>
      </c>
    </row>
    <row r="8" spans="1:13" x14ac:dyDescent="0.25">
      <c r="B8" s="1" t="s">
        <v>46</v>
      </c>
      <c r="C8" s="3">
        <v>7</v>
      </c>
      <c r="D8" s="3">
        <v>1.9582999999969848</v>
      </c>
      <c r="E8" s="1">
        <v>11.790000000000001</v>
      </c>
    </row>
    <row r="9" spans="1:13" x14ac:dyDescent="0.25">
      <c r="B9" s="1" t="s">
        <v>46</v>
      </c>
      <c r="C9" s="3">
        <v>8</v>
      </c>
      <c r="D9" s="3">
        <v>1.9582999999999711</v>
      </c>
      <c r="E9" s="1">
        <v>11.790000000000001</v>
      </c>
    </row>
    <row r="10" spans="1:13" x14ac:dyDescent="0.25">
      <c r="B10" s="1" t="s">
        <v>46</v>
      </c>
      <c r="C10" s="3">
        <v>9</v>
      </c>
      <c r="D10" s="3">
        <v>1.9582999999999997</v>
      </c>
      <c r="E10" s="1">
        <v>11.790000000000001</v>
      </c>
    </row>
    <row r="11" spans="1:13" x14ac:dyDescent="0.25">
      <c r="B11" s="1" t="s">
        <v>46</v>
      </c>
      <c r="C11" s="3">
        <v>10</v>
      </c>
      <c r="D11" s="3">
        <v>1.9582999999999999</v>
      </c>
      <c r="E11" s="1">
        <v>11.790000000000001</v>
      </c>
    </row>
    <row r="12" spans="1:13" x14ac:dyDescent="0.25">
      <c r="B12" s="1" t="s">
        <v>46</v>
      </c>
      <c r="C12" s="3">
        <v>11</v>
      </c>
      <c r="D12" s="3">
        <v>1.9582999999999999</v>
      </c>
      <c r="E12" s="1">
        <v>11.790000000000001</v>
      </c>
    </row>
    <row r="13" spans="1:13" x14ac:dyDescent="0.25">
      <c r="B13" s="1" t="s">
        <v>46</v>
      </c>
      <c r="C13" s="3">
        <v>12</v>
      </c>
      <c r="D13" s="3">
        <v>1.9582999999999999</v>
      </c>
      <c r="E13" s="1">
        <v>11.790000000000001</v>
      </c>
    </row>
    <row r="14" spans="1:13" x14ac:dyDescent="0.25">
      <c r="B14" s="1" t="s">
        <v>46</v>
      </c>
      <c r="C14" s="3">
        <v>13</v>
      </c>
      <c r="D14" s="3">
        <v>1.9582999999999999</v>
      </c>
      <c r="E14" s="1">
        <v>11.790000000000001</v>
      </c>
    </row>
    <row r="15" spans="1:13" x14ac:dyDescent="0.25">
      <c r="B15" s="1" t="s">
        <v>46</v>
      </c>
      <c r="C15" s="3">
        <v>14</v>
      </c>
      <c r="D15" s="3">
        <v>1.9582999999999999</v>
      </c>
      <c r="E15" s="1">
        <v>11.790000000000001</v>
      </c>
    </row>
    <row r="16" spans="1:13" x14ac:dyDescent="0.25">
      <c r="B16" s="1" t="s">
        <v>46</v>
      </c>
      <c r="C16" s="3">
        <v>15</v>
      </c>
      <c r="D16" s="3">
        <v>1.9582999999999999</v>
      </c>
      <c r="E16" s="1">
        <v>11.790000000000001</v>
      </c>
    </row>
    <row r="17" spans="2:5" x14ac:dyDescent="0.25">
      <c r="B17" s="1" t="s">
        <v>46</v>
      </c>
      <c r="C17" s="3">
        <v>16</v>
      </c>
      <c r="D17" s="3">
        <v>1.9582999999999999</v>
      </c>
      <c r="E17" s="1">
        <v>11.790000000000001</v>
      </c>
    </row>
    <row r="18" spans="2:5" x14ac:dyDescent="0.25">
      <c r="B18" s="1" t="s">
        <v>46</v>
      </c>
      <c r="C18" s="3">
        <v>17</v>
      </c>
      <c r="D18" s="3">
        <v>1.9582999999999999</v>
      </c>
      <c r="E18" s="1">
        <v>11.790000000000001</v>
      </c>
    </row>
    <row r="19" spans="2:5" x14ac:dyDescent="0.25">
      <c r="B19" s="1" t="s">
        <v>46</v>
      </c>
      <c r="C19" s="3">
        <v>18</v>
      </c>
      <c r="D19" s="3">
        <v>1.9582999999999999</v>
      </c>
      <c r="E19" s="1">
        <v>11.790000000000001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3C92-D9E2-4E8F-B0F4-34F59D3D9E52}">
  <dimension ref="A1:I12"/>
  <sheetViews>
    <sheetView workbookViewId="0">
      <selection activeCell="E26" sqref="E26"/>
    </sheetView>
  </sheetViews>
  <sheetFormatPr baseColWidth="10" defaultRowHeight="15" x14ac:dyDescent="0.25"/>
  <sheetData>
    <row r="1" spans="1:9" x14ac:dyDescent="0.25">
      <c r="A1" t="s">
        <v>48</v>
      </c>
      <c r="B1" t="s">
        <v>0</v>
      </c>
      <c r="C1" t="s">
        <v>1</v>
      </c>
      <c r="E1" t="s">
        <v>49</v>
      </c>
      <c r="F1" t="s">
        <v>50</v>
      </c>
      <c r="G1" t="s">
        <v>51</v>
      </c>
      <c r="H1" t="s">
        <v>52</v>
      </c>
      <c r="I1" t="s">
        <v>53</v>
      </c>
    </row>
    <row r="2" spans="1:9" x14ac:dyDescent="0.25">
      <c r="A2">
        <v>1</v>
      </c>
      <c r="B2" t="s">
        <v>54</v>
      </c>
      <c r="C2">
        <v>6000</v>
      </c>
      <c r="E2" t="s">
        <v>55</v>
      </c>
      <c r="F2">
        <v>572.16</v>
      </c>
      <c r="G2">
        <v>95.26</v>
      </c>
      <c r="H2">
        <v>654.86</v>
      </c>
      <c r="I2">
        <v>16.88</v>
      </c>
    </row>
    <row r="3" spans="1:9" x14ac:dyDescent="0.25">
      <c r="B3" t="s">
        <v>56</v>
      </c>
      <c r="C3">
        <v>227.13</v>
      </c>
      <c r="E3" t="s">
        <v>57</v>
      </c>
      <c r="F3">
        <v>572.33000000000004</v>
      </c>
      <c r="G3">
        <v>93.67</v>
      </c>
      <c r="H3">
        <v>638.20000000000005</v>
      </c>
      <c r="I3">
        <v>29.89</v>
      </c>
    </row>
    <row r="4" spans="1:9" x14ac:dyDescent="0.25">
      <c r="B4" t="s">
        <v>58</v>
      </c>
      <c r="C4">
        <v>200</v>
      </c>
      <c r="E4" t="s">
        <v>59</v>
      </c>
      <c r="F4">
        <v>570.46</v>
      </c>
      <c r="G4">
        <v>84.09</v>
      </c>
      <c r="H4">
        <v>643.86</v>
      </c>
      <c r="I4">
        <v>30.03</v>
      </c>
    </row>
    <row r="5" spans="1:9" x14ac:dyDescent="0.25">
      <c r="A5">
        <v>1</v>
      </c>
      <c r="B5" t="s">
        <v>60</v>
      </c>
      <c r="C5">
        <v>950</v>
      </c>
      <c r="E5" t="s">
        <v>61</v>
      </c>
      <c r="F5">
        <v>602.78</v>
      </c>
      <c r="G5">
        <v>95.42</v>
      </c>
      <c r="H5">
        <v>755.85</v>
      </c>
      <c r="I5">
        <v>173.23</v>
      </c>
    </row>
    <row r="6" spans="1:9" x14ac:dyDescent="0.25">
      <c r="B6" t="s">
        <v>62</v>
      </c>
      <c r="C6">
        <v>900</v>
      </c>
      <c r="E6" t="s">
        <v>63</v>
      </c>
      <c r="F6">
        <v>619.17999999999995</v>
      </c>
      <c r="G6">
        <v>86.05</v>
      </c>
      <c r="H6">
        <v>878.5</v>
      </c>
      <c r="I6">
        <v>144.1</v>
      </c>
    </row>
    <row r="7" spans="1:9" x14ac:dyDescent="0.25">
      <c r="B7" t="s">
        <v>64</v>
      </c>
      <c r="C7">
        <v>131.25</v>
      </c>
    </row>
    <row r="8" spans="1:9" x14ac:dyDescent="0.25">
      <c r="B8" t="s">
        <v>65</v>
      </c>
      <c r="C8">
        <v>22.5</v>
      </c>
    </row>
    <row r="9" spans="1:9" x14ac:dyDescent="0.25">
      <c r="B9" t="s">
        <v>66</v>
      </c>
      <c r="C9">
        <v>63.388833333333331</v>
      </c>
    </row>
    <row r="10" spans="1:9" x14ac:dyDescent="0.25">
      <c r="B10" t="s">
        <v>67</v>
      </c>
      <c r="C10">
        <v>28.05</v>
      </c>
    </row>
    <row r="11" spans="1:9" x14ac:dyDescent="0.25">
      <c r="B11" t="s">
        <v>68</v>
      </c>
      <c r="C11">
        <v>101.0521</v>
      </c>
    </row>
    <row r="12" spans="1:9" x14ac:dyDescent="0.25">
      <c r="B12" t="s">
        <v>6</v>
      </c>
      <c r="C12">
        <v>1.96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3E51E-14CA-4AFD-A2E5-F24268DBF8C9}">
  <dimension ref="A1:I9"/>
  <sheetViews>
    <sheetView workbookViewId="0">
      <selection activeCell="I14" sqref="I14"/>
    </sheetView>
  </sheetViews>
  <sheetFormatPr baseColWidth="10" defaultRowHeight="15" x14ac:dyDescent="0.25"/>
  <sheetData>
    <row r="1" spans="1:9" x14ac:dyDescent="0.25">
      <c r="A1" t="s">
        <v>48</v>
      </c>
      <c r="B1" t="s">
        <v>0</v>
      </c>
      <c r="C1" t="s">
        <v>1</v>
      </c>
      <c r="E1" t="s">
        <v>49</v>
      </c>
      <c r="F1" t="s">
        <v>50</v>
      </c>
      <c r="G1" t="s">
        <v>51</v>
      </c>
      <c r="H1" t="s">
        <v>52</v>
      </c>
      <c r="I1" t="s">
        <v>53</v>
      </c>
    </row>
    <row r="2" spans="1:9" x14ac:dyDescent="0.25">
      <c r="A2">
        <v>1</v>
      </c>
      <c r="B2" t="s">
        <v>58</v>
      </c>
      <c r="C2">
        <v>200</v>
      </c>
      <c r="E2" t="s">
        <v>55</v>
      </c>
      <c r="F2">
        <v>572.16</v>
      </c>
      <c r="G2">
        <v>95.26</v>
      </c>
      <c r="H2">
        <v>654.86</v>
      </c>
      <c r="I2">
        <v>16.88</v>
      </c>
    </row>
    <row r="3" spans="1:9" x14ac:dyDescent="0.25">
      <c r="B3" t="s">
        <v>62</v>
      </c>
      <c r="C3">
        <v>900</v>
      </c>
      <c r="E3" t="s">
        <v>57</v>
      </c>
      <c r="F3">
        <v>572.33000000000004</v>
      </c>
      <c r="G3">
        <v>93.67</v>
      </c>
      <c r="H3">
        <v>638.20000000000005</v>
      </c>
      <c r="I3">
        <v>29.89</v>
      </c>
    </row>
    <row r="4" spans="1:9" x14ac:dyDescent="0.25">
      <c r="B4" t="s">
        <v>64</v>
      </c>
      <c r="C4">
        <v>131.25</v>
      </c>
      <c r="E4" t="s">
        <v>59</v>
      </c>
      <c r="F4">
        <v>570.46</v>
      </c>
      <c r="G4">
        <v>84.09</v>
      </c>
      <c r="H4">
        <v>643.86</v>
      </c>
      <c r="I4">
        <v>30.03</v>
      </c>
    </row>
    <row r="5" spans="1:9" x14ac:dyDescent="0.25">
      <c r="A5">
        <v>1</v>
      </c>
      <c r="B5" t="s">
        <v>65</v>
      </c>
      <c r="C5">
        <v>22.5</v>
      </c>
      <c r="E5" t="s">
        <v>61</v>
      </c>
      <c r="F5">
        <v>602.78</v>
      </c>
      <c r="G5">
        <v>95.42</v>
      </c>
      <c r="H5">
        <v>755.85</v>
      </c>
      <c r="I5">
        <v>173.23</v>
      </c>
    </row>
    <row r="6" spans="1:9" x14ac:dyDescent="0.25">
      <c r="B6" t="s">
        <v>66</v>
      </c>
      <c r="C6">
        <v>63.388833333333331</v>
      </c>
      <c r="E6" t="s">
        <v>63</v>
      </c>
      <c r="F6">
        <v>619.17999999999995</v>
      </c>
      <c r="G6">
        <v>86.05</v>
      </c>
      <c r="H6">
        <v>878.5</v>
      </c>
      <c r="I6">
        <v>144.1</v>
      </c>
    </row>
    <row r="7" spans="1:9" x14ac:dyDescent="0.25">
      <c r="B7" t="s">
        <v>67</v>
      </c>
      <c r="C7">
        <v>28.05</v>
      </c>
    </row>
    <row r="8" spans="1:9" x14ac:dyDescent="0.25">
      <c r="B8" t="s">
        <v>68</v>
      </c>
      <c r="C8">
        <v>101.0521</v>
      </c>
    </row>
    <row r="9" spans="1:9" x14ac:dyDescent="0.25">
      <c r="B9" t="s">
        <v>6</v>
      </c>
      <c r="C9">
        <v>1.96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workbookViewId="0">
      <selection sqref="A1:G12"/>
    </sheetView>
  </sheetViews>
  <sheetFormatPr baseColWidth="10" defaultRowHeight="15" x14ac:dyDescent="0.25"/>
  <sheetData>
    <row r="1" spans="1:7" x14ac:dyDescent="0.25">
      <c r="A1" s="1" t="s">
        <v>0</v>
      </c>
      <c r="B1" s="1" t="s">
        <v>1</v>
      </c>
      <c r="C1" s="1" t="s">
        <v>2</v>
      </c>
      <c r="D1" s="1" t="s">
        <v>3</v>
      </c>
      <c r="E1" s="1" t="s">
        <v>4</v>
      </c>
      <c r="F1" s="1" t="s">
        <v>47</v>
      </c>
      <c r="G1" s="1" t="s">
        <v>5</v>
      </c>
    </row>
    <row r="2" spans="1:7" x14ac:dyDescent="0.25">
      <c r="A2" s="1" t="s">
        <v>17</v>
      </c>
      <c r="B2" s="1">
        <v>6000</v>
      </c>
      <c r="C2" s="1">
        <v>5.7432027363853201E-2</v>
      </c>
      <c r="D2" s="1">
        <v>5.7455935712525698E-2</v>
      </c>
      <c r="E2" s="1">
        <v>5.7193100622346199E-2</v>
      </c>
      <c r="F2" s="1">
        <v>6.1783807190843303E-2</v>
      </c>
      <c r="G2" s="1">
        <v>6.4151622455647303E-2</v>
      </c>
    </row>
    <row r="3" spans="1:7" x14ac:dyDescent="0.25">
      <c r="A3" s="1" t="s">
        <v>36</v>
      </c>
      <c r="B3" s="1">
        <v>227.13</v>
      </c>
      <c r="C3" s="1">
        <v>0.66920890188349103</v>
      </c>
      <c r="D3" s="1">
        <v>0.66948748650770395</v>
      </c>
      <c r="E3" s="1">
        <v>0.66642488206643702</v>
      </c>
      <c r="F3" s="1">
        <v>0.71991666779272101</v>
      </c>
      <c r="G3" s="1">
        <v>0.74750690142984599</v>
      </c>
    </row>
    <row r="4" spans="1:7" x14ac:dyDescent="0.25">
      <c r="A4" s="1" t="s">
        <v>38</v>
      </c>
      <c r="B4" s="1">
        <v>200</v>
      </c>
      <c r="C4" s="1">
        <v>0.73619877130702305</v>
      </c>
      <c r="D4" s="1">
        <v>0.73650524310898702</v>
      </c>
      <c r="E4" s="1">
        <v>0.73313606254322705</v>
      </c>
      <c r="F4" s="1">
        <v>0.79198254055012696</v>
      </c>
      <c r="G4" s="1">
        <v>0.82233464143604895</v>
      </c>
    </row>
    <row r="5" spans="1:7" x14ac:dyDescent="0.25">
      <c r="A5" s="1" t="s">
        <v>33</v>
      </c>
      <c r="B5" s="1">
        <v>950</v>
      </c>
      <c r="C5" s="1">
        <v>0.22880993675648501</v>
      </c>
      <c r="D5" s="1">
        <v>0.22890518792554099</v>
      </c>
      <c r="E5" s="1">
        <v>0.22785804954088401</v>
      </c>
      <c r="F5" s="1">
        <v>0.246147483639227</v>
      </c>
      <c r="G5" s="1">
        <v>0.25558089015225999</v>
      </c>
    </row>
    <row r="6" spans="1:7" x14ac:dyDescent="0.25">
      <c r="A6" s="1" t="s">
        <v>34</v>
      </c>
      <c r="B6" s="1">
        <v>900</v>
      </c>
      <c r="C6" s="1">
        <v>0.23827896387373401</v>
      </c>
      <c r="D6" s="1">
        <v>0.23837815689914299</v>
      </c>
      <c r="E6" s="1">
        <v>0.23728768393776101</v>
      </c>
      <c r="F6" s="1">
        <v>0.25633400451529897</v>
      </c>
      <c r="G6" s="1">
        <v>0.26615780133806299</v>
      </c>
    </row>
    <row r="7" spans="1:7" x14ac:dyDescent="0.25">
      <c r="A7" s="1" t="s">
        <v>39</v>
      </c>
      <c r="B7" s="1">
        <v>131.25</v>
      </c>
      <c r="C7" s="1">
        <v>1.00970173140899</v>
      </c>
      <c r="D7" s="1">
        <v>1.0101220596153599</v>
      </c>
      <c r="E7" s="1">
        <v>1.0055012050537</v>
      </c>
      <c r="F7" s="1">
        <v>1.0862095586215901</v>
      </c>
      <c r="G7" s="1">
        <v>1.1278376759329001</v>
      </c>
    </row>
    <row r="8" spans="1:7" x14ac:dyDescent="0.25">
      <c r="A8" s="1" t="s">
        <v>45</v>
      </c>
      <c r="B8" s="1">
        <v>22.5</v>
      </c>
      <c r="C8" s="1">
        <v>3.7899257049944399</v>
      </c>
      <c r="D8" s="1">
        <v>3.79150341118656</v>
      </c>
      <c r="E8" s="1">
        <v>3.77415898665258</v>
      </c>
      <c r="F8" s="1">
        <v>4.0770986115731596</v>
      </c>
      <c r="G8" s="1">
        <v>4.2333501727431404</v>
      </c>
    </row>
    <row r="9" spans="1:7" x14ac:dyDescent="0.25">
      <c r="A9" s="1" t="s">
        <v>43</v>
      </c>
      <c r="B9" s="1">
        <v>63.388833333333302</v>
      </c>
      <c r="C9" s="1">
        <v>1.74284199499555</v>
      </c>
      <c r="D9" s="1">
        <v>1.7435675217793001</v>
      </c>
      <c r="E9" s="1">
        <v>1.73559148377491</v>
      </c>
      <c r="F9" s="1">
        <v>1.87490184006079</v>
      </c>
      <c r="G9" s="1">
        <v>1.94675596169483</v>
      </c>
    </row>
    <row r="10" spans="1:7" x14ac:dyDescent="0.25">
      <c r="A10" s="1" t="s">
        <v>44</v>
      </c>
      <c r="B10" s="1">
        <v>28.05</v>
      </c>
      <c r="C10" s="1">
        <v>3.2123135959460298</v>
      </c>
      <c r="D10" s="1">
        <v>3.2136508482949799</v>
      </c>
      <c r="E10" s="1">
        <v>3.1989498395995</v>
      </c>
      <c r="F10" s="1">
        <v>3.45571927299518</v>
      </c>
      <c r="G10" s="1">
        <v>3.5881569652889098</v>
      </c>
    </row>
    <row r="11" spans="1:7" x14ac:dyDescent="0.25">
      <c r="A11" s="1" t="s">
        <v>41</v>
      </c>
      <c r="B11" s="1">
        <v>101.0521</v>
      </c>
      <c r="C11" s="1">
        <v>1.2284530916776</v>
      </c>
      <c r="D11" s="1">
        <v>1.2289644837734699</v>
      </c>
      <c r="E11" s="1">
        <v>1.2233425234500599</v>
      </c>
      <c r="F11" s="1">
        <v>1.3215363002660301</v>
      </c>
      <c r="G11" s="1">
        <v>1.3721831277607699</v>
      </c>
    </row>
    <row r="12" spans="1:7" x14ac:dyDescent="0.25">
      <c r="A12" s="1" t="s">
        <v>6</v>
      </c>
      <c r="B12" s="1">
        <v>1.96</v>
      </c>
      <c r="C12" s="1">
        <v>23.636084368637199</v>
      </c>
      <c r="D12" s="1">
        <v>23.645923821853</v>
      </c>
      <c r="E12" s="1">
        <v>23.537754344791701</v>
      </c>
      <c r="F12" s="1">
        <v>25.4270543180841</v>
      </c>
      <c r="G12" s="1">
        <v>26.401525948933699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50FDB-3A51-4202-A7BB-7B28D6AB2246}">
  <dimension ref="A1:G9"/>
  <sheetViews>
    <sheetView workbookViewId="0">
      <selection activeCell="E16" sqref="E16"/>
    </sheetView>
  </sheetViews>
  <sheetFormatPr baseColWidth="10" defaultRowHeight="15" x14ac:dyDescent="0.25"/>
  <cols>
    <col min="1" max="1" width="19.140625" bestFit="1" customWidth="1"/>
  </cols>
  <sheetData>
    <row r="1" spans="1:7" x14ac:dyDescent="0.25">
      <c r="A1" t="s">
        <v>0</v>
      </c>
      <c r="B1" t="s">
        <v>1</v>
      </c>
      <c r="C1" t="s">
        <v>2</v>
      </c>
      <c r="D1" t="s">
        <v>3</v>
      </c>
      <c r="E1" t="s">
        <v>4</v>
      </c>
      <c r="F1" t="s">
        <v>47</v>
      </c>
      <c r="G1" t="s">
        <v>5</v>
      </c>
    </row>
    <row r="2" spans="1:7" x14ac:dyDescent="0.25">
      <c r="A2" t="s">
        <v>38</v>
      </c>
      <c r="B2">
        <v>200</v>
      </c>
      <c r="C2">
        <v>1.28916762271112</v>
      </c>
      <c r="D2">
        <v>1.2897042896274</v>
      </c>
      <c r="E2">
        <v>1.2838044719834001</v>
      </c>
      <c r="F2">
        <v>1.38685133529505</v>
      </c>
      <c r="G2">
        <v>1.4400013095525801</v>
      </c>
    </row>
    <row r="3" spans="1:7" x14ac:dyDescent="0.25">
      <c r="A3" t="s">
        <v>34</v>
      </c>
      <c r="B3">
        <v>900</v>
      </c>
      <c r="C3">
        <v>0.41725351545182598</v>
      </c>
      <c r="D3">
        <v>0.41742721369982699</v>
      </c>
      <c r="E3">
        <v>0.41551767175267101</v>
      </c>
      <c r="F3">
        <v>0.44886994124470703</v>
      </c>
      <c r="G3">
        <v>0.46607252469036498</v>
      </c>
    </row>
    <row r="4" spans="1:7" x14ac:dyDescent="0.25">
      <c r="A4" t="s">
        <v>39</v>
      </c>
      <c r="B4">
        <v>131.25</v>
      </c>
      <c r="C4">
        <v>1.76810235422817</v>
      </c>
      <c r="D4">
        <v>1.76883839663367</v>
      </c>
      <c r="E4">
        <v>1.7607467557313501</v>
      </c>
      <c r="F4">
        <v>1.9020762449361699</v>
      </c>
      <c r="G4">
        <v>1.9749718040212401</v>
      </c>
    </row>
    <row r="5" spans="1:7" x14ac:dyDescent="0.25">
      <c r="A5" t="s">
        <v>45</v>
      </c>
      <c r="B5">
        <v>22.5</v>
      </c>
      <c r="C5">
        <v>6.6365901462797598</v>
      </c>
      <c r="D5">
        <v>6.6393528889252202</v>
      </c>
      <c r="E5">
        <v>6.6089808326066999</v>
      </c>
      <c r="F5">
        <v>7.1394625059060299</v>
      </c>
      <c r="G5">
        <v>7.4130767273761196</v>
      </c>
    </row>
    <row r="6" spans="1:7" x14ac:dyDescent="0.25">
      <c r="A6" t="s">
        <v>43</v>
      </c>
      <c r="B6">
        <v>63.388833333333302</v>
      </c>
      <c r="C6">
        <v>3.0519141827153602</v>
      </c>
      <c r="D6">
        <v>3.0531846624763501</v>
      </c>
      <c r="E6">
        <v>3.0392177144814299</v>
      </c>
      <c r="F6">
        <v>3.2831659630139001</v>
      </c>
      <c r="G6">
        <v>3.4089906869597102</v>
      </c>
    </row>
    <row r="7" spans="1:7" x14ac:dyDescent="0.25">
      <c r="A7" t="s">
        <v>44</v>
      </c>
      <c r="B7">
        <v>28.05</v>
      </c>
      <c r="C7">
        <v>5.6251257721283396</v>
      </c>
      <c r="D7">
        <v>5.6274674527978199</v>
      </c>
      <c r="E7">
        <v>5.6017243176961902</v>
      </c>
      <c r="F7">
        <v>6.0513567443408496</v>
      </c>
      <c r="G7">
        <v>6.2832701780301301</v>
      </c>
    </row>
    <row r="8" spans="1:7" x14ac:dyDescent="0.25">
      <c r="A8" t="s">
        <v>41</v>
      </c>
      <c r="B8">
        <v>101.0521</v>
      </c>
      <c r="C8">
        <v>2.1511608189708298</v>
      </c>
      <c r="D8">
        <v>2.1520563245845299</v>
      </c>
      <c r="E8">
        <v>2.1422116338466801</v>
      </c>
      <c r="F8">
        <v>2.31416008412477</v>
      </c>
      <c r="G8">
        <v>2.40284842855562</v>
      </c>
    </row>
    <row r="9" spans="1:7" x14ac:dyDescent="0.25">
      <c r="A9" t="s">
        <v>6</v>
      </c>
      <c r="B9">
        <v>1.96</v>
      </c>
      <c r="C9">
        <v>41.389466925649003</v>
      </c>
      <c r="D9">
        <v>41.406696925216302</v>
      </c>
      <c r="E9">
        <v>41.217279891355297</v>
      </c>
      <c r="F9">
        <v>44.5256586201508</v>
      </c>
      <c r="G9">
        <v>46.232069068937001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0EBDE-F976-461A-8AB8-078CE0461F34}">
  <dimension ref="A1:G96"/>
  <sheetViews>
    <sheetView workbookViewId="0">
      <selection activeCell="H8" sqref="H8"/>
    </sheetView>
  </sheetViews>
  <sheetFormatPr baseColWidth="10" defaultRowHeight="15" x14ac:dyDescent="0.25"/>
  <cols>
    <col min="1" max="1" width="18.140625" bestFit="1" customWidth="1"/>
  </cols>
  <sheetData>
    <row r="1" spans="1:7" x14ac:dyDescent="0.25">
      <c r="A1" t="s">
        <v>69</v>
      </c>
      <c r="B1" t="s">
        <v>8</v>
      </c>
      <c r="C1" t="s">
        <v>70</v>
      </c>
      <c r="D1" t="s">
        <v>71</v>
      </c>
      <c r="E1" t="s">
        <v>72</v>
      </c>
      <c r="F1" t="s">
        <v>73</v>
      </c>
      <c r="G1" t="s">
        <v>74</v>
      </c>
    </row>
    <row r="2" spans="1:7" x14ac:dyDescent="0.25">
      <c r="A2" t="s">
        <v>75</v>
      </c>
      <c r="B2" t="s">
        <v>38</v>
      </c>
      <c r="C2" t="s">
        <v>55</v>
      </c>
      <c r="D2">
        <v>0</v>
      </c>
      <c r="E2">
        <v>16.8835038218017</v>
      </c>
      <c r="F2">
        <v>195.733144711666</v>
      </c>
      <c r="G2">
        <v>0</v>
      </c>
    </row>
    <row r="3" spans="1:7" x14ac:dyDescent="0.25">
      <c r="A3" t="s">
        <v>75</v>
      </c>
      <c r="B3" t="s">
        <v>38</v>
      </c>
      <c r="C3" t="s">
        <v>57</v>
      </c>
      <c r="D3">
        <v>0</v>
      </c>
      <c r="E3">
        <v>16.890532246788801</v>
      </c>
      <c r="F3">
        <v>195.81462636024</v>
      </c>
      <c r="G3">
        <v>0</v>
      </c>
    </row>
    <row r="4" spans="1:7" x14ac:dyDescent="0.25">
      <c r="A4" t="s">
        <v>75</v>
      </c>
      <c r="B4" t="s">
        <v>38</v>
      </c>
      <c r="C4" t="s">
        <v>59</v>
      </c>
      <c r="D4">
        <v>0</v>
      </c>
      <c r="E4">
        <v>16.8132656508973</v>
      </c>
      <c r="F4">
        <v>194.91886242672101</v>
      </c>
      <c r="G4">
        <v>0</v>
      </c>
    </row>
    <row r="5" spans="1:7" x14ac:dyDescent="0.25">
      <c r="A5" t="s">
        <v>75</v>
      </c>
      <c r="B5" t="s">
        <v>38</v>
      </c>
      <c r="C5" t="s">
        <v>61</v>
      </c>
      <c r="D5">
        <v>0</v>
      </c>
      <c r="E5">
        <v>18.162812505702799</v>
      </c>
      <c r="F5">
        <v>210.564373726675</v>
      </c>
      <c r="G5">
        <v>0</v>
      </c>
    </row>
    <row r="6" spans="1:7" x14ac:dyDescent="0.25">
      <c r="A6" t="s">
        <v>75</v>
      </c>
      <c r="B6" t="s">
        <v>38</v>
      </c>
      <c r="C6" t="s">
        <v>63</v>
      </c>
      <c r="D6">
        <v>0</v>
      </c>
      <c r="E6">
        <v>18.858887847417201</v>
      </c>
      <c r="F6">
        <v>218.634085856811</v>
      </c>
      <c r="G6">
        <v>0</v>
      </c>
    </row>
    <row r="7" spans="1:7" x14ac:dyDescent="0.25">
      <c r="A7" t="s">
        <v>75</v>
      </c>
      <c r="B7" t="s">
        <v>34</v>
      </c>
      <c r="C7" t="s">
        <v>55</v>
      </c>
      <c r="D7">
        <v>0</v>
      </c>
      <c r="E7">
        <v>0</v>
      </c>
      <c r="F7">
        <v>29.463607879990299</v>
      </c>
      <c r="G7">
        <v>204.618119020237</v>
      </c>
    </row>
    <row r="8" spans="1:7" x14ac:dyDescent="0.25">
      <c r="A8" t="s">
        <v>75</v>
      </c>
      <c r="B8" t="s">
        <v>34</v>
      </c>
      <c r="C8" t="s">
        <v>57</v>
      </c>
      <c r="D8">
        <v>0</v>
      </c>
      <c r="E8">
        <v>0</v>
      </c>
      <c r="F8">
        <v>29.475873269924801</v>
      </c>
      <c r="G8">
        <v>204.70329939012501</v>
      </c>
    </row>
    <row r="9" spans="1:7" x14ac:dyDescent="0.25">
      <c r="A9" t="s">
        <v>75</v>
      </c>
      <c r="B9" t="s">
        <v>34</v>
      </c>
      <c r="C9" t="s">
        <v>59</v>
      </c>
      <c r="D9">
        <v>0</v>
      </c>
      <c r="E9">
        <v>0</v>
      </c>
      <c r="F9">
        <v>29.341034393611199</v>
      </c>
      <c r="G9">
        <v>203.76687377129201</v>
      </c>
    </row>
    <row r="10" spans="1:7" x14ac:dyDescent="0.25">
      <c r="A10" t="s">
        <v>75</v>
      </c>
      <c r="B10" t="s">
        <v>34</v>
      </c>
      <c r="C10" t="s">
        <v>61</v>
      </c>
      <c r="D10">
        <v>0</v>
      </c>
      <c r="E10">
        <v>0</v>
      </c>
      <c r="F10">
        <v>31.696145024990798</v>
      </c>
      <c r="G10">
        <v>220.122586535333</v>
      </c>
    </row>
    <row r="11" spans="1:7" x14ac:dyDescent="0.25">
      <c r="A11" t="s">
        <v>75</v>
      </c>
      <c r="B11" t="s">
        <v>34</v>
      </c>
      <c r="C11" t="s">
        <v>63</v>
      </c>
      <c r="D11">
        <v>0</v>
      </c>
      <c r="E11">
        <v>0</v>
      </c>
      <c r="F11">
        <v>32.910874570449103</v>
      </c>
      <c r="G11">
        <v>228.55860956830301</v>
      </c>
    </row>
    <row r="12" spans="1:7" x14ac:dyDescent="0.25">
      <c r="A12" t="s">
        <v>75</v>
      </c>
      <c r="B12" t="s">
        <v>39</v>
      </c>
      <c r="C12" t="s">
        <v>55</v>
      </c>
      <c r="D12">
        <v>0</v>
      </c>
      <c r="E12">
        <v>45.648694030138998</v>
      </c>
      <c r="F12">
        <v>168.625427348584</v>
      </c>
      <c r="G12">
        <v>0</v>
      </c>
    </row>
    <row r="13" spans="1:7" x14ac:dyDescent="0.25">
      <c r="A13" t="s">
        <v>75</v>
      </c>
      <c r="B13" t="s">
        <v>39</v>
      </c>
      <c r="C13" t="s">
        <v>57</v>
      </c>
      <c r="D13">
        <v>0</v>
      </c>
      <c r="E13">
        <v>45.667697101132902</v>
      </c>
      <c r="F13">
        <v>168.69562433965601</v>
      </c>
      <c r="G13">
        <v>0</v>
      </c>
    </row>
    <row r="14" spans="1:7" x14ac:dyDescent="0.25">
      <c r="A14" t="s">
        <v>75</v>
      </c>
      <c r="B14" t="s">
        <v>39</v>
      </c>
      <c r="C14" t="s">
        <v>59</v>
      </c>
      <c r="D14">
        <v>0</v>
      </c>
      <c r="E14">
        <v>45.458787905990199</v>
      </c>
      <c r="F14">
        <v>167.92391765545801</v>
      </c>
      <c r="G14">
        <v>0</v>
      </c>
    </row>
    <row r="15" spans="1:7" x14ac:dyDescent="0.25">
      <c r="A15" t="s">
        <v>75</v>
      </c>
      <c r="B15" t="s">
        <v>39</v>
      </c>
      <c r="C15" t="s">
        <v>61</v>
      </c>
      <c r="D15">
        <v>0</v>
      </c>
      <c r="E15">
        <v>49.107618865758297</v>
      </c>
      <c r="F15">
        <v>181.40263140589701</v>
      </c>
      <c r="G15">
        <v>0</v>
      </c>
    </row>
    <row r="16" spans="1:7" x14ac:dyDescent="0.25">
      <c r="A16" t="s">
        <v>75</v>
      </c>
      <c r="B16" t="s">
        <v>39</v>
      </c>
      <c r="C16" t="s">
        <v>63</v>
      </c>
      <c r="D16">
        <v>0</v>
      </c>
      <c r="E16">
        <v>50.989629296247699</v>
      </c>
      <c r="F16">
        <v>188.354742958228</v>
      </c>
      <c r="G16">
        <v>0</v>
      </c>
    </row>
    <row r="17" spans="1:7" x14ac:dyDescent="0.25">
      <c r="A17" t="s">
        <v>75</v>
      </c>
      <c r="B17" t="s">
        <v>45</v>
      </c>
      <c r="C17" t="s">
        <v>55</v>
      </c>
      <c r="D17">
        <v>24.0462776302079</v>
      </c>
      <c r="E17">
        <v>83.643820924607198</v>
      </c>
      <c r="F17">
        <v>0</v>
      </c>
      <c r="G17">
        <v>0</v>
      </c>
    </row>
    <row r="18" spans="1:7" x14ac:dyDescent="0.25">
      <c r="A18" t="s">
        <v>75</v>
      </c>
      <c r="B18" t="s">
        <v>45</v>
      </c>
      <c r="C18" t="s">
        <v>57</v>
      </c>
      <c r="D18">
        <v>24.056287842562298</v>
      </c>
      <c r="E18">
        <v>83.678640967129695</v>
      </c>
      <c r="F18">
        <v>0</v>
      </c>
      <c r="G18">
        <v>0</v>
      </c>
    </row>
    <row r="19" spans="1:7" x14ac:dyDescent="0.25">
      <c r="A19" t="s">
        <v>75</v>
      </c>
      <c r="B19" t="s">
        <v>45</v>
      </c>
      <c r="C19" t="s">
        <v>59</v>
      </c>
      <c r="D19">
        <v>23.946241134488101</v>
      </c>
      <c r="E19">
        <v>83.295848782615707</v>
      </c>
      <c r="F19">
        <v>0</v>
      </c>
      <c r="G19">
        <v>0</v>
      </c>
    </row>
    <row r="20" spans="1:7" x14ac:dyDescent="0.25">
      <c r="A20" t="s">
        <v>75</v>
      </c>
      <c r="B20" t="s">
        <v>45</v>
      </c>
      <c r="C20" t="s">
        <v>61</v>
      </c>
      <c r="D20">
        <v>25.868329030942501</v>
      </c>
      <c r="E20">
        <v>89.981739143060594</v>
      </c>
      <c r="F20">
        <v>0</v>
      </c>
      <c r="G20">
        <v>0</v>
      </c>
    </row>
    <row r="21" spans="1:7" x14ac:dyDescent="0.25">
      <c r="A21" t="s">
        <v>75</v>
      </c>
      <c r="B21" t="s">
        <v>45</v>
      </c>
      <c r="C21" t="s">
        <v>63</v>
      </c>
      <c r="D21">
        <v>26.859712164151599</v>
      </c>
      <c r="E21">
        <v>93.4302177199543</v>
      </c>
      <c r="F21">
        <v>0</v>
      </c>
      <c r="G21">
        <v>0</v>
      </c>
    </row>
    <row r="22" spans="1:7" x14ac:dyDescent="0.25">
      <c r="A22" t="s">
        <v>75</v>
      </c>
      <c r="B22" t="s">
        <v>43</v>
      </c>
      <c r="C22" t="s">
        <v>55</v>
      </c>
      <c r="D22">
        <v>0</v>
      </c>
      <c r="E22">
        <v>117.748696882296</v>
      </c>
      <c r="F22">
        <v>0</v>
      </c>
      <c r="G22">
        <v>0</v>
      </c>
    </row>
    <row r="23" spans="1:7" x14ac:dyDescent="0.25">
      <c r="A23" t="s">
        <v>75</v>
      </c>
      <c r="B23" t="s">
        <v>43</v>
      </c>
      <c r="C23" t="s">
        <v>57</v>
      </c>
      <c r="D23">
        <v>0</v>
      </c>
      <c r="E23">
        <v>117.79771442581701</v>
      </c>
      <c r="F23">
        <v>0</v>
      </c>
      <c r="G23">
        <v>0</v>
      </c>
    </row>
    <row r="24" spans="1:7" x14ac:dyDescent="0.25">
      <c r="A24" t="s">
        <v>75</v>
      </c>
      <c r="B24" t="s">
        <v>43</v>
      </c>
      <c r="C24" t="s">
        <v>59</v>
      </c>
      <c r="D24">
        <v>0</v>
      </c>
      <c r="E24">
        <v>117.258842810377</v>
      </c>
      <c r="F24">
        <v>0</v>
      </c>
      <c r="G24">
        <v>0</v>
      </c>
    </row>
    <row r="25" spans="1:7" x14ac:dyDescent="0.25">
      <c r="A25" t="s">
        <v>75</v>
      </c>
      <c r="B25" t="s">
        <v>43</v>
      </c>
      <c r="C25" t="s">
        <v>61</v>
      </c>
      <c r="D25">
        <v>0</v>
      </c>
      <c r="E25">
        <v>126.670833663232</v>
      </c>
      <c r="F25">
        <v>0</v>
      </c>
      <c r="G25">
        <v>0</v>
      </c>
    </row>
    <row r="26" spans="1:7" x14ac:dyDescent="0.25">
      <c r="A26" t="s">
        <v>75</v>
      </c>
      <c r="B26" t="s">
        <v>43</v>
      </c>
      <c r="C26" t="s">
        <v>63</v>
      </c>
      <c r="D26">
        <v>0</v>
      </c>
      <c r="E26">
        <v>131.52539260335701</v>
      </c>
      <c r="F26">
        <v>0</v>
      </c>
      <c r="G26">
        <v>0</v>
      </c>
    </row>
    <row r="27" spans="1:7" x14ac:dyDescent="0.25">
      <c r="A27" t="s">
        <v>75</v>
      </c>
      <c r="B27" t="s">
        <v>44</v>
      </c>
      <c r="C27" t="s">
        <v>55</v>
      </c>
      <c r="D27">
        <v>0</v>
      </c>
      <c r="E27">
        <v>122.20033691973499</v>
      </c>
      <c r="F27">
        <v>0</v>
      </c>
      <c r="G27">
        <v>0</v>
      </c>
    </row>
    <row r="28" spans="1:7" x14ac:dyDescent="0.25">
      <c r="A28" t="s">
        <v>75</v>
      </c>
      <c r="B28" t="s">
        <v>44</v>
      </c>
      <c r="C28" t="s">
        <v>57</v>
      </c>
      <c r="D28">
        <v>0</v>
      </c>
      <c r="E28">
        <v>122.251207634162</v>
      </c>
      <c r="F28">
        <v>0</v>
      </c>
      <c r="G28">
        <v>0</v>
      </c>
    </row>
    <row r="29" spans="1:7" x14ac:dyDescent="0.25">
      <c r="A29" t="s">
        <v>75</v>
      </c>
      <c r="B29" t="s">
        <v>44</v>
      </c>
      <c r="C29" t="s">
        <v>59</v>
      </c>
      <c r="D29">
        <v>0</v>
      </c>
      <c r="E29">
        <v>121.691963288306</v>
      </c>
      <c r="F29">
        <v>0</v>
      </c>
      <c r="G29">
        <v>0</v>
      </c>
    </row>
    <row r="30" spans="1:7" x14ac:dyDescent="0.25">
      <c r="A30" t="s">
        <v>75</v>
      </c>
      <c r="B30" t="s">
        <v>44</v>
      </c>
      <c r="C30" t="s">
        <v>61</v>
      </c>
      <c r="D30">
        <v>0</v>
      </c>
      <c r="E30">
        <v>131.45978648939101</v>
      </c>
      <c r="F30">
        <v>0</v>
      </c>
      <c r="G30">
        <v>0</v>
      </c>
    </row>
    <row r="31" spans="1:7" x14ac:dyDescent="0.25">
      <c r="A31" t="s">
        <v>75</v>
      </c>
      <c r="B31" t="s">
        <v>44</v>
      </c>
      <c r="C31" t="s">
        <v>63</v>
      </c>
      <c r="D31">
        <v>0</v>
      </c>
      <c r="E31">
        <v>136.49787823721701</v>
      </c>
      <c r="F31">
        <v>0</v>
      </c>
      <c r="G31">
        <v>0</v>
      </c>
    </row>
    <row r="32" spans="1:7" x14ac:dyDescent="0.25">
      <c r="A32" t="s">
        <v>75</v>
      </c>
      <c r="B32" t="s">
        <v>41</v>
      </c>
      <c r="C32" t="s">
        <v>55</v>
      </c>
      <c r="D32">
        <v>0</v>
      </c>
      <c r="E32">
        <v>47.009321841523999</v>
      </c>
      <c r="F32">
        <v>0.88668228991103404</v>
      </c>
      <c r="G32">
        <v>0</v>
      </c>
    </row>
    <row r="33" spans="1:7" x14ac:dyDescent="0.25">
      <c r="A33" t="s">
        <v>75</v>
      </c>
      <c r="B33" t="s">
        <v>41</v>
      </c>
      <c r="C33" t="s">
        <v>57</v>
      </c>
      <c r="D33">
        <v>0</v>
      </c>
      <c r="E33">
        <v>47.028891327558703</v>
      </c>
      <c r="F33">
        <v>0.887051406418355</v>
      </c>
      <c r="G33">
        <v>0</v>
      </c>
    </row>
    <row r="34" spans="1:7" x14ac:dyDescent="0.25">
      <c r="A34" t="s">
        <v>75</v>
      </c>
      <c r="B34" t="s">
        <v>41</v>
      </c>
      <c r="C34" t="s">
        <v>59</v>
      </c>
      <c r="D34">
        <v>0</v>
      </c>
      <c r="E34">
        <v>46.813755280432702</v>
      </c>
      <c r="F34">
        <v>0.882993544797819</v>
      </c>
      <c r="G34">
        <v>0</v>
      </c>
    </row>
    <row r="35" spans="1:7" x14ac:dyDescent="0.25">
      <c r="A35" t="s">
        <v>75</v>
      </c>
      <c r="B35" t="s">
        <v>41</v>
      </c>
      <c r="C35" t="s">
        <v>61</v>
      </c>
      <c r="D35">
        <v>0</v>
      </c>
      <c r="E35">
        <v>50.571345121224397</v>
      </c>
      <c r="F35">
        <v>0.95386860178782695</v>
      </c>
      <c r="G35">
        <v>0</v>
      </c>
    </row>
    <row r="36" spans="1:7" x14ac:dyDescent="0.25">
      <c r="A36" t="s">
        <v>75</v>
      </c>
      <c r="B36" t="s">
        <v>41</v>
      </c>
      <c r="C36" t="s">
        <v>63</v>
      </c>
      <c r="D36">
        <v>0</v>
      </c>
      <c r="E36">
        <v>52.509451696136999</v>
      </c>
      <c r="F36">
        <v>0.99042485719879503</v>
      </c>
      <c r="G36">
        <v>0</v>
      </c>
    </row>
    <row r="37" spans="1:7" x14ac:dyDescent="0.25">
      <c r="A37" t="s">
        <v>75</v>
      </c>
      <c r="B37" t="s">
        <v>6</v>
      </c>
      <c r="C37" t="s">
        <v>55</v>
      </c>
      <c r="D37">
        <v>40.176850372337398</v>
      </c>
      <c r="E37">
        <v>0</v>
      </c>
      <c r="F37">
        <v>0</v>
      </c>
      <c r="G37">
        <v>0</v>
      </c>
    </row>
    <row r="38" spans="1:7" x14ac:dyDescent="0.25">
      <c r="A38" t="s">
        <v>75</v>
      </c>
      <c r="B38" t="s">
        <v>6</v>
      </c>
      <c r="C38" t="s">
        <v>57</v>
      </c>
      <c r="D38">
        <v>40.193575572393101</v>
      </c>
      <c r="E38">
        <v>0</v>
      </c>
      <c r="F38">
        <v>0</v>
      </c>
      <c r="G38">
        <v>0</v>
      </c>
    </row>
    <row r="39" spans="1:7" x14ac:dyDescent="0.25">
      <c r="A39" t="s">
        <v>75</v>
      </c>
      <c r="B39" t="s">
        <v>6</v>
      </c>
      <c r="C39" t="s">
        <v>59</v>
      </c>
      <c r="D39">
        <v>40.009708023649999</v>
      </c>
      <c r="E39">
        <v>0</v>
      </c>
      <c r="F39">
        <v>0</v>
      </c>
      <c r="G39">
        <v>0</v>
      </c>
    </row>
    <row r="40" spans="1:7" x14ac:dyDescent="0.25">
      <c r="A40" t="s">
        <v>75</v>
      </c>
      <c r="B40" t="s">
        <v>6</v>
      </c>
      <c r="C40" t="s">
        <v>61</v>
      </c>
      <c r="D40">
        <v>43.221158835534403</v>
      </c>
      <c r="E40">
        <v>0</v>
      </c>
      <c r="F40">
        <v>0</v>
      </c>
      <c r="G40">
        <v>0</v>
      </c>
    </row>
    <row r="41" spans="1:7" x14ac:dyDescent="0.25">
      <c r="A41" t="s">
        <v>75</v>
      </c>
      <c r="B41" t="s">
        <v>6</v>
      </c>
      <c r="C41" t="s">
        <v>63</v>
      </c>
      <c r="D41">
        <v>44.877575367736497</v>
      </c>
      <c r="E41">
        <v>0</v>
      </c>
      <c r="F41">
        <v>0</v>
      </c>
      <c r="G41">
        <v>0</v>
      </c>
    </row>
    <row r="42" spans="1:7" x14ac:dyDescent="0.25">
      <c r="A42" t="s">
        <v>76</v>
      </c>
      <c r="B42" t="s">
        <v>17</v>
      </c>
      <c r="C42" t="s">
        <v>55</v>
      </c>
      <c r="D42">
        <v>0</v>
      </c>
      <c r="E42">
        <v>0</v>
      </c>
      <c r="F42">
        <v>1.19185408835861</v>
      </c>
      <c r="G42">
        <v>268.76201708473297</v>
      </c>
    </row>
    <row r="43" spans="1:7" x14ac:dyDescent="0.25">
      <c r="A43" t="s">
        <v>76</v>
      </c>
      <c r="B43" t="s">
        <v>17</v>
      </c>
      <c r="C43" t="s">
        <v>57</v>
      </c>
      <c r="D43">
        <v>0</v>
      </c>
      <c r="E43">
        <v>0</v>
      </c>
      <c r="F43">
        <v>1.19235024467451</v>
      </c>
      <c r="G43">
        <v>268.87389988444102</v>
      </c>
    </row>
    <row r="44" spans="1:7" x14ac:dyDescent="0.25">
      <c r="A44" t="s">
        <v>76</v>
      </c>
      <c r="B44" t="s">
        <v>17</v>
      </c>
      <c r="C44" t="s">
        <v>59</v>
      </c>
      <c r="D44">
        <v>0</v>
      </c>
      <c r="E44">
        <v>0</v>
      </c>
      <c r="F44">
        <v>1.1868957780437199</v>
      </c>
      <c r="G44">
        <v>267.64392260103898</v>
      </c>
    </row>
    <row r="45" spans="1:7" x14ac:dyDescent="0.25">
      <c r="A45" t="s">
        <v>76</v>
      </c>
      <c r="B45" t="s">
        <v>17</v>
      </c>
      <c r="C45" t="s">
        <v>61</v>
      </c>
      <c r="D45">
        <v>0</v>
      </c>
      <c r="E45">
        <v>0</v>
      </c>
      <c r="F45">
        <v>1.28216409161821</v>
      </c>
      <c r="G45">
        <v>289.12684099736799</v>
      </c>
    </row>
    <row r="46" spans="1:7" x14ac:dyDescent="0.25">
      <c r="A46" t="s">
        <v>76</v>
      </c>
      <c r="B46" t="s">
        <v>17</v>
      </c>
      <c r="C46" t="s">
        <v>63</v>
      </c>
      <c r="D46">
        <v>0</v>
      </c>
      <c r="E46">
        <v>0</v>
      </c>
      <c r="F46">
        <v>1.3313020105350399</v>
      </c>
      <c r="G46">
        <v>300.20739719332198</v>
      </c>
    </row>
    <row r="47" spans="1:7" x14ac:dyDescent="0.25">
      <c r="A47" t="s">
        <v>76</v>
      </c>
      <c r="B47" t="s">
        <v>36</v>
      </c>
      <c r="C47" t="s">
        <v>55</v>
      </c>
      <c r="D47">
        <v>0</v>
      </c>
      <c r="E47">
        <v>9.1989144272541292</v>
      </c>
      <c r="F47">
        <v>114.48352113064</v>
      </c>
      <c r="G47">
        <v>0</v>
      </c>
    </row>
    <row r="48" spans="1:7" x14ac:dyDescent="0.25">
      <c r="A48" t="s">
        <v>76</v>
      </c>
      <c r="B48" t="s">
        <v>36</v>
      </c>
      <c r="C48" t="s">
        <v>57</v>
      </c>
      <c r="D48">
        <v>0</v>
      </c>
      <c r="E48">
        <v>9.2027438385361204</v>
      </c>
      <c r="F48">
        <v>114.531179415853</v>
      </c>
      <c r="G48">
        <v>0</v>
      </c>
    </row>
    <row r="49" spans="1:7" x14ac:dyDescent="0.25">
      <c r="A49" t="s">
        <v>76</v>
      </c>
      <c r="B49" t="s">
        <v>36</v>
      </c>
      <c r="C49" t="s">
        <v>59</v>
      </c>
      <c r="D49">
        <v>0</v>
      </c>
      <c r="E49">
        <v>9.1606454203882901</v>
      </c>
      <c r="F49">
        <v>114.007250730386</v>
      </c>
      <c r="G49">
        <v>0</v>
      </c>
    </row>
    <row r="50" spans="1:7" x14ac:dyDescent="0.25">
      <c r="A50" t="s">
        <v>76</v>
      </c>
      <c r="B50" t="s">
        <v>36</v>
      </c>
      <c r="C50" t="s">
        <v>61</v>
      </c>
      <c r="D50">
        <v>0</v>
      </c>
      <c r="E50">
        <v>9.8959410180292906</v>
      </c>
      <c r="F50">
        <v>123.158246726218</v>
      </c>
      <c r="G50">
        <v>0</v>
      </c>
    </row>
    <row r="51" spans="1:7" x14ac:dyDescent="0.25">
      <c r="A51" t="s">
        <v>76</v>
      </c>
      <c r="B51" t="s">
        <v>36</v>
      </c>
      <c r="C51" t="s">
        <v>63</v>
      </c>
      <c r="D51">
        <v>0</v>
      </c>
      <c r="E51">
        <v>10.2751950858421</v>
      </c>
      <c r="F51">
        <v>127.87818856606</v>
      </c>
      <c r="G51">
        <v>0</v>
      </c>
    </row>
    <row r="52" spans="1:7" x14ac:dyDescent="0.25">
      <c r="A52" t="s">
        <v>76</v>
      </c>
      <c r="B52" t="s">
        <v>38</v>
      </c>
      <c r="C52" t="s">
        <v>55</v>
      </c>
      <c r="D52">
        <v>0</v>
      </c>
      <c r="E52">
        <v>9.6616520973383899</v>
      </c>
      <c r="F52">
        <v>111.762414425172</v>
      </c>
      <c r="G52">
        <v>0</v>
      </c>
    </row>
    <row r="53" spans="1:7" x14ac:dyDescent="0.25">
      <c r="A53" t="s">
        <v>76</v>
      </c>
      <c r="B53" t="s">
        <v>38</v>
      </c>
      <c r="C53" t="s">
        <v>57</v>
      </c>
      <c r="D53">
        <v>0</v>
      </c>
      <c r="E53">
        <v>9.6656741414433593</v>
      </c>
      <c r="F53">
        <v>111.80893994229601</v>
      </c>
      <c r="G53">
        <v>0</v>
      </c>
    </row>
    <row r="54" spans="1:7" x14ac:dyDescent="0.25">
      <c r="A54" t="s">
        <v>76</v>
      </c>
      <c r="B54" t="s">
        <v>38</v>
      </c>
      <c r="C54" t="s">
        <v>59</v>
      </c>
      <c r="D54">
        <v>0</v>
      </c>
      <c r="E54">
        <v>9.6214580251604005</v>
      </c>
      <c r="F54">
        <v>111.297464279282</v>
      </c>
      <c r="G54">
        <v>0</v>
      </c>
    </row>
    <row r="55" spans="1:7" x14ac:dyDescent="0.25">
      <c r="A55" t="s">
        <v>76</v>
      </c>
      <c r="B55" t="s">
        <v>38</v>
      </c>
      <c r="C55" t="s">
        <v>61</v>
      </c>
      <c r="D55">
        <v>0</v>
      </c>
      <c r="E55">
        <v>10.393741571147499</v>
      </c>
      <c r="F55">
        <v>120.230954416454</v>
      </c>
      <c r="G55">
        <v>0</v>
      </c>
    </row>
    <row r="56" spans="1:7" x14ac:dyDescent="0.25">
      <c r="A56" t="s">
        <v>76</v>
      </c>
      <c r="B56" t="s">
        <v>38</v>
      </c>
      <c r="C56" t="s">
        <v>63</v>
      </c>
      <c r="D56">
        <v>0</v>
      </c>
      <c r="E56">
        <v>10.792073449184301</v>
      </c>
      <c r="F56">
        <v>124.83871010703299</v>
      </c>
      <c r="G56">
        <v>0</v>
      </c>
    </row>
    <row r="57" spans="1:7" x14ac:dyDescent="0.25">
      <c r="A57" t="s">
        <v>76</v>
      </c>
      <c r="B57" t="s">
        <v>33</v>
      </c>
      <c r="C57" t="s">
        <v>55</v>
      </c>
      <c r="D57">
        <v>0</v>
      </c>
      <c r="E57">
        <v>0</v>
      </c>
      <c r="F57">
        <v>16.912606262902202</v>
      </c>
      <c r="G57">
        <v>117.2416610492</v>
      </c>
    </row>
    <row r="58" spans="1:7" x14ac:dyDescent="0.25">
      <c r="A58" t="s">
        <v>76</v>
      </c>
      <c r="B58" t="s">
        <v>33</v>
      </c>
      <c r="C58" t="s">
        <v>57</v>
      </c>
      <c r="D58">
        <v>0</v>
      </c>
      <c r="E58">
        <v>0</v>
      </c>
      <c r="F58">
        <v>16.9196468029293</v>
      </c>
      <c r="G58">
        <v>117.290467519038</v>
      </c>
    </row>
    <row r="59" spans="1:7" x14ac:dyDescent="0.25">
      <c r="A59" t="s">
        <v>76</v>
      </c>
      <c r="B59" t="s">
        <v>33</v>
      </c>
      <c r="C59" t="s">
        <v>59</v>
      </c>
      <c r="D59">
        <v>0</v>
      </c>
      <c r="E59">
        <v>0</v>
      </c>
      <c r="F59">
        <v>16.842247021024999</v>
      </c>
      <c r="G59">
        <v>116.753916330284</v>
      </c>
    </row>
    <row r="60" spans="1:7" x14ac:dyDescent="0.25">
      <c r="A60" t="s">
        <v>76</v>
      </c>
      <c r="B60" t="s">
        <v>33</v>
      </c>
      <c r="C60" t="s">
        <v>61</v>
      </c>
      <c r="D60">
        <v>0</v>
      </c>
      <c r="E60">
        <v>0</v>
      </c>
      <c r="F60">
        <v>18.194120117366001</v>
      </c>
      <c r="G60">
        <v>126.125378355649</v>
      </c>
    </row>
    <row r="61" spans="1:7" x14ac:dyDescent="0.25">
      <c r="A61" t="s">
        <v>76</v>
      </c>
      <c r="B61" t="s">
        <v>33</v>
      </c>
      <c r="C61" t="s">
        <v>63</v>
      </c>
      <c r="D61">
        <v>0</v>
      </c>
      <c r="E61">
        <v>0</v>
      </c>
      <c r="F61">
        <v>18.8913952983938</v>
      </c>
      <c r="G61">
        <v>130.959033154992</v>
      </c>
    </row>
    <row r="62" spans="1:7" x14ac:dyDescent="0.25">
      <c r="A62" t="s">
        <v>76</v>
      </c>
      <c r="B62" t="s">
        <v>34</v>
      </c>
      <c r="C62" t="s">
        <v>55</v>
      </c>
      <c r="D62">
        <v>0</v>
      </c>
      <c r="E62">
        <v>0</v>
      </c>
      <c r="F62">
        <v>16.7407996997417</v>
      </c>
      <c r="G62">
        <v>117.157476175482</v>
      </c>
    </row>
    <row r="63" spans="1:7" x14ac:dyDescent="0.25">
      <c r="A63" t="s">
        <v>76</v>
      </c>
      <c r="B63" t="s">
        <v>34</v>
      </c>
      <c r="C63" t="s">
        <v>57</v>
      </c>
      <c r="D63">
        <v>0</v>
      </c>
      <c r="E63">
        <v>0</v>
      </c>
      <c r="F63">
        <v>16.7477687185044</v>
      </c>
      <c r="G63">
        <v>117.206247600043</v>
      </c>
    </row>
    <row r="64" spans="1:7" x14ac:dyDescent="0.25">
      <c r="A64" t="s">
        <v>76</v>
      </c>
      <c r="B64" t="s">
        <v>34</v>
      </c>
      <c r="C64" t="s">
        <v>59</v>
      </c>
      <c r="D64">
        <v>0</v>
      </c>
      <c r="E64">
        <v>0</v>
      </c>
      <c r="F64">
        <v>16.671155201609299</v>
      </c>
      <c r="G64">
        <v>116.670081679577</v>
      </c>
    </row>
    <row r="65" spans="1:7" x14ac:dyDescent="0.25">
      <c r="A65" t="s">
        <v>76</v>
      </c>
      <c r="B65" t="s">
        <v>34</v>
      </c>
      <c r="C65" t="s">
        <v>61</v>
      </c>
      <c r="D65">
        <v>0</v>
      </c>
      <c r="E65">
        <v>0</v>
      </c>
      <c r="F65">
        <v>18.009295306896099</v>
      </c>
      <c r="G65">
        <v>126.03481456668101</v>
      </c>
    </row>
    <row r="66" spans="1:7" x14ac:dyDescent="0.25">
      <c r="A66" t="s">
        <v>76</v>
      </c>
      <c r="B66" t="s">
        <v>34</v>
      </c>
      <c r="C66" t="s">
        <v>63</v>
      </c>
      <c r="D66">
        <v>0</v>
      </c>
      <c r="E66">
        <v>0</v>
      </c>
      <c r="F66">
        <v>18.6994872240811</v>
      </c>
      <c r="G66">
        <v>130.86499858085099</v>
      </c>
    </row>
    <row r="67" spans="1:7" x14ac:dyDescent="0.25">
      <c r="A67" t="s">
        <v>76</v>
      </c>
      <c r="B67" t="s">
        <v>39</v>
      </c>
      <c r="C67" t="s">
        <v>55</v>
      </c>
      <c r="D67">
        <v>0</v>
      </c>
      <c r="E67">
        <v>26.265761669938001</v>
      </c>
      <c r="F67">
        <v>96.085504346782699</v>
      </c>
      <c r="G67">
        <v>0</v>
      </c>
    </row>
    <row r="68" spans="1:7" x14ac:dyDescent="0.25">
      <c r="A68" t="s">
        <v>76</v>
      </c>
      <c r="B68" t="s">
        <v>39</v>
      </c>
      <c r="C68" t="s">
        <v>57</v>
      </c>
      <c r="D68">
        <v>0</v>
      </c>
      <c r="E68">
        <v>26.276695830144199</v>
      </c>
      <c r="F68">
        <v>96.125503731198805</v>
      </c>
      <c r="G68">
        <v>0</v>
      </c>
    </row>
    <row r="69" spans="1:7" x14ac:dyDescent="0.25">
      <c r="A69" t="s">
        <v>76</v>
      </c>
      <c r="B69" t="s">
        <v>39</v>
      </c>
      <c r="C69" t="s">
        <v>59</v>
      </c>
      <c r="D69">
        <v>0</v>
      </c>
      <c r="E69">
        <v>26.156491753185101</v>
      </c>
      <c r="F69">
        <v>95.685772742077205</v>
      </c>
      <c r="G69">
        <v>0</v>
      </c>
    </row>
    <row r="70" spans="1:7" x14ac:dyDescent="0.25">
      <c r="A70" t="s">
        <v>76</v>
      </c>
      <c r="B70" t="s">
        <v>39</v>
      </c>
      <c r="C70" t="s">
        <v>61</v>
      </c>
      <c r="D70">
        <v>0</v>
      </c>
      <c r="E70">
        <v>28.255989370792602</v>
      </c>
      <c r="F70">
        <v>103.366162520896</v>
      </c>
      <c r="G70">
        <v>0</v>
      </c>
    </row>
    <row r="71" spans="1:7" x14ac:dyDescent="0.25">
      <c r="A71" t="s">
        <v>76</v>
      </c>
      <c r="B71" t="s">
        <v>39</v>
      </c>
      <c r="C71" t="s">
        <v>63</v>
      </c>
      <c r="D71">
        <v>0</v>
      </c>
      <c r="E71">
        <v>29.338877687267299</v>
      </c>
      <c r="F71">
        <v>107.327588477136</v>
      </c>
      <c r="G71">
        <v>0</v>
      </c>
    </row>
    <row r="72" spans="1:7" x14ac:dyDescent="0.25">
      <c r="A72" t="s">
        <v>76</v>
      </c>
      <c r="B72" t="s">
        <v>45</v>
      </c>
      <c r="C72" t="s">
        <v>55</v>
      </c>
      <c r="D72">
        <v>13.763008149413</v>
      </c>
      <c r="E72">
        <v>47.712975948287799</v>
      </c>
      <c r="F72">
        <v>0</v>
      </c>
      <c r="G72">
        <v>0</v>
      </c>
    </row>
    <row r="73" spans="1:7" x14ac:dyDescent="0.25">
      <c r="A73" t="s">
        <v>76</v>
      </c>
      <c r="B73" t="s">
        <v>45</v>
      </c>
      <c r="C73" t="s">
        <v>57</v>
      </c>
      <c r="D73">
        <v>13.7687375448866</v>
      </c>
      <c r="E73">
        <v>47.732838358123203</v>
      </c>
      <c r="F73">
        <v>0</v>
      </c>
      <c r="G73">
        <v>0</v>
      </c>
    </row>
    <row r="74" spans="1:7" x14ac:dyDescent="0.25">
      <c r="A74" t="s">
        <v>76</v>
      </c>
      <c r="B74" t="s">
        <v>45</v>
      </c>
      <c r="C74" t="s">
        <v>59</v>
      </c>
      <c r="D74">
        <v>13.7057517570931</v>
      </c>
      <c r="E74">
        <v>47.514482069624897</v>
      </c>
      <c r="F74">
        <v>0</v>
      </c>
      <c r="G74">
        <v>0</v>
      </c>
    </row>
    <row r="75" spans="1:7" x14ac:dyDescent="0.25">
      <c r="A75" t="s">
        <v>76</v>
      </c>
      <c r="B75" t="s">
        <v>45</v>
      </c>
      <c r="C75" t="s">
        <v>61</v>
      </c>
      <c r="D75">
        <v>14.805868448316801</v>
      </c>
      <c r="E75">
        <v>51.328317000101499</v>
      </c>
      <c r="F75">
        <v>0</v>
      </c>
      <c r="G75">
        <v>0</v>
      </c>
    </row>
    <row r="76" spans="1:7" x14ac:dyDescent="0.25">
      <c r="A76" t="s">
        <v>76</v>
      </c>
      <c r="B76" t="s">
        <v>45</v>
      </c>
      <c r="C76" t="s">
        <v>63</v>
      </c>
      <c r="D76">
        <v>15.3732915793051</v>
      </c>
      <c r="E76">
        <v>53.295433920140702</v>
      </c>
      <c r="F76">
        <v>0</v>
      </c>
      <c r="G76">
        <v>0</v>
      </c>
    </row>
    <row r="77" spans="1:7" x14ac:dyDescent="0.25">
      <c r="A77" t="s">
        <v>76</v>
      </c>
      <c r="B77" t="s">
        <v>43</v>
      </c>
      <c r="C77" t="s">
        <v>55</v>
      </c>
      <c r="D77">
        <v>0</v>
      </c>
      <c r="E77">
        <v>67.282500837900997</v>
      </c>
      <c r="F77">
        <v>0</v>
      </c>
      <c r="G77">
        <v>0</v>
      </c>
    </row>
    <row r="78" spans="1:7" x14ac:dyDescent="0.25">
      <c r="A78" t="s">
        <v>76</v>
      </c>
      <c r="B78" t="s">
        <v>43</v>
      </c>
      <c r="C78" t="s">
        <v>57</v>
      </c>
      <c r="D78">
        <v>0</v>
      </c>
      <c r="E78">
        <v>67.3105098350308</v>
      </c>
      <c r="F78">
        <v>0</v>
      </c>
      <c r="G78">
        <v>0</v>
      </c>
    </row>
    <row r="79" spans="1:7" x14ac:dyDescent="0.25">
      <c r="A79" t="s">
        <v>76</v>
      </c>
      <c r="B79" t="s">
        <v>43</v>
      </c>
      <c r="C79" t="s">
        <v>59</v>
      </c>
      <c r="D79">
        <v>0</v>
      </c>
      <c r="E79">
        <v>67.002594496030198</v>
      </c>
      <c r="F79">
        <v>0</v>
      </c>
      <c r="G79">
        <v>0</v>
      </c>
    </row>
    <row r="80" spans="1:7" x14ac:dyDescent="0.25">
      <c r="A80" t="s">
        <v>76</v>
      </c>
      <c r="B80" t="s">
        <v>43</v>
      </c>
      <c r="C80" t="s">
        <v>61</v>
      </c>
      <c r="D80">
        <v>0</v>
      </c>
      <c r="E80">
        <v>72.380677644386395</v>
      </c>
      <c r="F80">
        <v>0</v>
      </c>
      <c r="G80">
        <v>0</v>
      </c>
    </row>
    <row r="81" spans="1:7" x14ac:dyDescent="0.25">
      <c r="A81" t="s">
        <v>76</v>
      </c>
      <c r="B81" t="s">
        <v>43</v>
      </c>
      <c r="C81" t="s">
        <v>63</v>
      </c>
      <c r="D81">
        <v>0</v>
      </c>
      <c r="E81">
        <v>75.154609540066502</v>
      </c>
      <c r="F81">
        <v>0</v>
      </c>
      <c r="G81">
        <v>0</v>
      </c>
    </row>
    <row r="82" spans="1:7" x14ac:dyDescent="0.25">
      <c r="A82" t="s">
        <v>76</v>
      </c>
      <c r="B82" t="s">
        <v>44</v>
      </c>
      <c r="C82" t="s">
        <v>55</v>
      </c>
      <c r="D82">
        <v>0</v>
      </c>
      <c r="E82">
        <v>69.676206004310302</v>
      </c>
      <c r="F82">
        <v>0</v>
      </c>
      <c r="G82">
        <v>0</v>
      </c>
    </row>
    <row r="83" spans="1:7" x14ac:dyDescent="0.25">
      <c r="A83" t="s">
        <v>76</v>
      </c>
      <c r="B83" t="s">
        <v>44</v>
      </c>
      <c r="C83" t="s">
        <v>57</v>
      </c>
      <c r="D83">
        <v>0</v>
      </c>
      <c r="E83">
        <v>69.705211475713398</v>
      </c>
      <c r="F83">
        <v>0</v>
      </c>
      <c r="G83">
        <v>0</v>
      </c>
    </row>
    <row r="84" spans="1:7" x14ac:dyDescent="0.25">
      <c r="A84" t="s">
        <v>76</v>
      </c>
      <c r="B84" t="s">
        <v>44</v>
      </c>
      <c r="C84" t="s">
        <v>59</v>
      </c>
      <c r="D84">
        <v>0</v>
      </c>
      <c r="E84">
        <v>69.386341452677698</v>
      </c>
      <c r="F84">
        <v>0</v>
      </c>
      <c r="G84">
        <v>0</v>
      </c>
    </row>
    <row r="85" spans="1:7" x14ac:dyDescent="0.25">
      <c r="A85" t="s">
        <v>76</v>
      </c>
      <c r="B85" t="s">
        <v>44</v>
      </c>
      <c r="C85" t="s">
        <v>61</v>
      </c>
      <c r="D85">
        <v>0</v>
      </c>
      <c r="E85">
        <v>74.955760316223802</v>
      </c>
      <c r="F85">
        <v>0</v>
      </c>
      <c r="G85">
        <v>0</v>
      </c>
    </row>
    <row r="86" spans="1:7" x14ac:dyDescent="0.25">
      <c r="A86" t="s">
        <v>76</v>
      </c>
      <c r="B86" t="s">
        <v>44</v>
      </c>
      <c r="C86" t="s">
        <v>63</v>
      </c>
      <c r="D86">
        <v>0</v>
      </c>
      <c r="E86">
        <v>77.828380206958897</v>
      </c>
      <c r="F86">
        <v>0</v>
      </c>
      <c r="G86">
        <v>0</v>
      </c>
    </row>
    <row r="87" spans="1:7" x14ac:dyDescent="0.25">
      <c r="A87" t="s">
        <v>76</v>
      </c>
      <c r="B87" t="s">
        <v>41</v>
      </c>
      <c r="C87" t="s">
        <v>55</v>
      </c>
      <c r="D87">
        <v>0</v>
      </c>
      <c r="E87">
        <v>26.817942836114</v>
      </c>
      <c r="F87">
        <v>0.36786889171239301</v>
      </c>
      <c r="G87">
        <v>0</v>
      </c>
    </row>
    <row r="88" spans="1:7" x14ac:dyDescent="0.25">
      <c r="A88" t="s">
        <v>76</v>
      </c>
      <c r="B88" t="s">
        <v>41</v>
      </c>
      <c r="C88" t="s">
        <v>57</v>
      </c>
      <c r="D88">
        <v>0</v>
      </c>
      <c r="E88">
        <v>26.829106863529301</v>
      </c>
      <c r="F88">
        <v>0.36802203166117298</v>
      </c>
      <c r="G88">
        <v>0</v>
      </c>
    </row>
    <row r="89" spans="1:7" x14ac:dyDescent="0.25">
      <c r="A89" t="s">
        <v>76</v>
      </c>
      <c r="B89" t="s">
        <v>41</v>
      </c>
      <c r="C89" t="s">
        <v>59</v>
      </c>
      <c r="D89">
        <v>0</v>
      </c>
      <c r="E89">
        <v>26.706375754298101</v>
      </c>
      <c r="F89">
        <v>0.366338496223447</v>
      </c>
      <c r="G89">
        <v>0</v>
      </c>
    </row>
    <row r="90" spans="1:7" x14ac:dyDescent="0.25">
      <c r="A90" t="s">
        <v>76</v>
      </c>
      <c r="B90" t="s">
        <v>41</v>
      </c>
      <c r="C90" t="s">
        <v>61</v>
      </c>
      <c r="D90">
        <v>0</v>
      </c>
      <c r="E90">
        <v>28.850010795271999</v>
      </c>
      <c r="F90">
        <v>0.39574331118550299</v>
      </c>
      <c r="G90">
        <v>0</v>
      </c>
    </row>
    <row r="91" spans="1:7" x14ac:dyDescent="0.25">
      <c r="A91" t="s">
        <v>76</v>
      </c>
      <c r="B91" t="s">
        <v>41</v>
      </c>
      <c r="C91" t="s">
        <v>63</v>
      </c>
      <c r="D91">
        <v>0</v>
      </c>
      <c r="E91">
        <v>29.9556645103272</v>
      </c>
      <c r="F91">
        <v>0.41090985879359698</v>
      </c>
      <c r="G91">
        <v>0</v>
      </c>
    </row>
    <row r="92" spans="1:7" x14ac:dyDescent="0.25">
      <c r="A92" t="s">
        <v>76</v>
      </c>
      <c r="B92" t="s">
        <v>6</v>
      </c>
      <c r="C92" t="s">
        <v>55</v>
      </c>
      <c r="D92">
        <v>22.943593062778898</v>
      </c>
      <c r="E92">
        <v>0</v>
      </c>
      <c r="F92">
        <v>0</v>
      </c>
      <c r="G92">
        <v>0</v>
      </c>
    </row>
    <row r="93" spans="1:7" x14ac:dyDescent="0.25">
      <c r="A93" t="s">
        <v>76</v>
      </c>
      <c r="B93" t="s">
        <v>6</v>
      </c>
      <c r="C93" t="s">
        <v>57</v>
      </c>
      <c r="D93">
        <v>22.953144239150699</v>
      </c>
      <c r="E93">
        <v>0</v>
      </c>
      <c r="F93">
        <v>0</v>
      </c>
      <c r="G93">
        <v>0</v>
      </c>
    </row>
    <row r="94" spans="1:7" x14ac:dyDescent="0.25">
      <c r="A94" t="s">
        <v>76</v>
      </c>
      <c r="B94" t="s">
        <v>6</v>
      </c>
      <c r="C94" t="s">
        <v>59</v>
      </c>
      <c r="D94">
        <v>22.848143917405299</v>
      </c>
      <c r="E94">
        <v>0</v>
      </c>
      <c r="F94">
        <v>0</v>
      </c>
      <c r="G94">
        <v>0</v>
      </c>
    </row>
    <row r="95" spans="1:7" x14ac:dyDescent="0.25">
      <c r="A95" t="s">
        <v>76</v>
      </c>
      <c r="B95" t="s">
        <v>6</v>
      </c>
      <c r="C95" t="s">
        <v>61</v>
      </c>
      <c r="D95">
        <v>24.682091075685701</v>
      </c>
      <c r="E95">
        <v>0</v>
      </c>
      <c r="F95">
        <v>0</v>
      </c>
      <c r="G95">
        <v>0</v>
      </c>
    </row>
    <row r="96" spans="1:7" x14ac:dyDescent="0.25">
      <c r="A96" t="s">
        <v>76</v>
      </c>
      <c r="B96" t="s">
        <v>6</v>
      </c>
      <c r="C96" t="s">
        <v>63</v>
      </c>
      <c r="D96">
        <v>25.628012582849699</v>
      </c>
      <c r="E96">
        <v>0</v>
      </c>
      <c r="F96">
        <v>0</v>
      </c>
      <c r="G96">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626D6-50CD-400D-8826-52AF0E310D6F}">
  <dimension ref="A1:J11"/>
  <sheetViews>
    <sheetView workbookViewId="0">
      <selection activeCell="C19" sqref="C19"/>
    </sheetView>
  </sheetViews>
  <sheetFormatPr baseColWidth="10" defaultRowHeight="15" x14ac:dyDescent="0.25"/>
  <cols>
    <col min="1" max="1" width="18.140625" bestFit="1" customWidth="1"/>
  </cols>
  <sheetData>
    <row r="1" spans="1:10" x14ac:dyDescent="0.25">
      <c r="A1" t="s">
        <v>69</v>
      </c>
      <c r="B1" t="s">
        <v>49</v>
      </c>
      <c r="C1" t="s">
        <v>77</v>
      </c>
      <c r="D1" t="s">
        <v>78</v>
      </c>
      <c r="E1" t="s">
        <v>79</v>
      </c>
      <c r="F1" t="s">
        <v>80</v>
      </c>
      <c r="G1" t="s">
        <v>81</v>
      </c>
      <c r="H1" t="s">
        <v>82</v>
      </c>
      <c r="I1" t="s">
        <v>83</v>
      </c>
      <c r="J1" t="s">
        <v>84</v>
      </c>
    </row>
    <row r="2" spans="1:10" x14ac:dyDescent="0.25">
      <c r="A2" t="s">
        <v>75</v>
      </c>
      <c r="B2" t="s">
        <v>55</v>
      </c>
      <c r="C2">
        <v>8.0278910003181601</v>
      </c>
      <c r="D2">
        <v>15.4772944405959</v>
      </c>
      <c r="E2">
        <v>54.1417968025129</v>
      </c>
      <c r="F2">
        <v>49.167390121567102</v>
      </c>
      <c r="G2">
        <v>49.338607778768903</v>
      </c>
      <c r="H2">
        <v>82.928974207383405</v>
      </c>
      <c r="I2">
        <v>25.577264877529601</v>
      </c>
      <c r="J2">
        <v>72.343429756422793</v>
      </c>
    </row>
    <row r="3" spans="1:10" x14ac:dyDescent="0.25">
      <c r="A3" t="s">
        <v>76</v>
      </c>
      <c r="B3" t="s">
        <v>55</v>
      </c>
      <c r="C3">
        <v>3.3369637465628998</v>
      </c>
      <c r="D3">
        <v>7.7028582905735599</v>
      </c>
      <c r="E3">
        <v>23.3287230746494</v>
      </c>
      <c r="F3">
        <v>26.942112008381301</v>
      </c>
      <c r="G3">
        <v>32.504051713210004</v>
      </c>
      <c r="H3">
        <v>48.7605756195968</v>
      </c>
      <c r="I3">
        <v>45.7419231190377</v>
      </c>
      <c r="J3">
        <v>87.572224078146405</v>
      </c>
    </row>
    <row r="4" spans="1:10" x14ac:dyDescent="0.25">
      <c r="A4" t="s">
        <v>75</v>
      </c>
      <c r="B4" t="s">
        <v>63</v>
      </c>
      <c r="C4">
        <v>8.9671609414860107</v>
      </c>
      <c r="D4">
        <v>17.288150796029701</v>
      </c>
      <c r="E4">
        <v>60.476432175041303</v>
      </c>
      <c r="F4">
        <v>54.9200157644702</v>
      </c>
      <c r="G4">
        <v>55.111266030335898</v>
      </c>
      <c r="H4">
        <v>92.631733340733703</v>
      </c>
      <c r="I4">
        <v>28.569826196037901</v>
      </c>
      <c r="J4">
        <v>80.807671362157805</v>
      </c>
    </row>
    <row r="5" spans="1:10" x14ac:dyDescent="0.25">
      <c r="A5" t="s">
        <v>76</v>
      </c>
      <c r="B5" t="s">
        <v>63</v>
      </c>
      <c r="C5">
        <v>3.7273912874686199</v>
      </c>
      <c r="D5">
        <v>8.6040991336697701</v>
      </c>
      <c r="E5">
        <v>26.0582031272534</v>
      </c>
      <c r="F5">
        <v>30.094361579289501</v>
      </c>
      <c r="G5">
        <v>36.3070528674575</v>
      </c>
      <c r="H5">
        <v>54.465603626543299</v>
      </c>
      <c r="I5">
        <v>51.093766266287702</v>
      </c>
      <c r="J5">
        <v>97.818247318192604</v>
      </c>
    </row>
    <row r="6" spans="1:10" x14ac:dyDescent="0.25">
      <c r="A6" t="s">
        <v>75</v>
      </c>
      <c r="B6" t="s">
        <v>57</v>
      </c>
      <c r="C6">
        <v>8.0312329268694196</v>
      </c>
      <c r="D6">
        <v>15.4837374754142</v>
      </c>
      <c r="E6">
        <v>54.164335462823601</v>
      </c>
      <c r="F6">
        <v>49.187857988719003</v>
      </c>
      <c r="G6">
        <v>49.3591469220299</v>
      </c>
      <c r="H6">
        <v>82.963496666739601</v>
      </c>
      <c r="I6">
        <v>25.587912423765601</v>
      </c>
      <c r="J6">
        <v>72.373545565008698</v>
      </c>
    </row>
    <row r="7" spans="1:10" x14ac:dyDescent="0.25">
      <c r="A7" t="s">
        <v>76</v>
      </c>
      <c r="B7" t="s">
        <v>57</v>
      </c>
      <c r="C7">
        <v>3.3383528894579402</v>
      </c>
      <c r="D7">
        <v>7.7060649094278499</v>
      </c>
      <c r="E7">
        <v>23.3384345765928</v>
      </c>
      <c r="F7">
        <v>26.953327726116498</v>
      </c>
      <c r="G7">
        <v>32.517582807919702</v>
      </c>
      <c r="H7">
        <v>48.780874134152199</v>
      </c>
      <c r="I7">
        <v>45.760965000320198</v>
      </c>
      <c r="J7">
        <v>87.608679473565701</v>
      </c>
    </row>
    <row r="8" spans="1:10" x14ac:dyDescent="0.25">
      <c r="A8" t="s">
        <v>75</v>
      </c>
      <c r="B8" t="s">
        <v>61</v>
      </c>
      <c r="C8">
        <v>8.6361859833096108</v>
      </c>
      <c r="D8">
        <v>16.6500508417632</v>
      </c>
      <c r="E8">
        <v>58.244266973546097</v>
      </c>
      <c r="F8">
        <v>52.892936063402701</v>
      </c>
      <c r="G8">
        <v>53.0771273449188</v>
      </c>
      <c r="H8">
        <v>89.212726559399599</v>
      </c>
      <c r="I8">
        <v>27.5153233169166</v>
      </c>
      <c r="J8">
        <v>77.825086815728298</v>
      </c>
    </row>
    <row r="9" spans="1:10" x14ac:dyDescent="0.25">
      <c r="A9" t="s">
        <v>76</v>
      </c>
      <c r="B9" t="s">
        <v>61</v>
      </c>
      <c r="C9">
        <v>3.5898145021820498</v>
      </c>
      <c r="D9">
        <v>8.2865246672924595</v>
      </c>
      <c r="E9">
        <v>25.096403428723001</v>
      </c>
      <c r="F9">
        <v>28.9835886010808</v>
      </c>
      <c r="G9">
        <v>34.966971499148499</v>
      </c>
      <c r="H9">
        <v>52.455296127884999</v>
      </c>
      <c r="I9">
        <v>49.207912174518</v>
      </c>
      <c r="J9">
        <v>94.207808013457495</v>
      </c>
    </row>
    <row r="10" spans="1:10" x14ac:dyDescent="0.25">
      <c r="A10" t="s">
        <v>75</v>
      </c>
      <c r="B10" t="s">
        <v>59</v>
      </c>
      <c r="C10">
        <v>7.9944936447672603</v>
      </c>
      <c r="D10">
        <v>15.412906333510501</v>
      </c>
      <c r="E10">
        <v>53.916557964827398</v>
      </c>
      <c r="F10">
        <v>48.962845639170197</v>
      </c>
      <c r="G10">
        <v>49.133351002573498</v>
      </c>
      <c r="H10">
        <v>82.583975946076094</v>
      </c>
      <c r="I10">
        <v>25.470859221411501</v>
      </c>
      <c r="J10">
        <v>72.042469112431903</v>
      </c>
    </row>
    <row r="11" spans="1:10" x14ac:dyDescent="0.25">
      <c r="A11" t="s">
        <v>76</v>
      </c>
      <c r="B11" t="s">
        <v>59</v>
      </c>
      <c r="C11">
        <v>3.3230814249543998</v>
      </c>
      <c r="D11">
        <v>7.6708131249032396</v>
      </c>
      <c r="E11">
        <v>23.2316717246695</v>
      </c>
      <c r="F11">
        <v>26.830028362253099</v>
      </c>
      <c r="G11">
        <v>32.368829477149703</v>
      </c>
      <c r="H11">
        <v>48.557723552874599</v>
      </c>
      <c r="I11">
        <v>45.5516291464454</v>
      </c>
      <c r="J11">
        <v>87.207909128702795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00310-7B50-4C5F-8C55-644A90BA0C78}">
  <dimension ref="A1:E41"/>
  <sheetViews>
    <sheetView workbookViewId="0">
      <selection activeCell="L34" sqref="L34"/>
    </sheetView>
  </sheetViews>
  <sheetFormatPr baseColWidth="10" defaultRowHeight="15" x14ac:dyDescent="0.25"/>
  <sheetData>
    <row r="1" spans="1:5" x14ac:dyDescent="0.25">
      <c r="A1" t="s">
        <v>85</v>
      </c>
      <c r="B1" t="s">
        <v>49</v>
      </c>
      <c r="C1" t="s">
        <v>86</v>
      </c>
      <c r="D1" t="s">
        <v>87</v>
      </c>
      <c r="E1" t="s">
        <v>88</v>
      </c>
    </row>
    <row r="2" spans="1:5" x14ac:dyDescent="0.25">
      <c r="A2" t="s">
        <v>89</v>
      </c>
      <c r="B2" t="s">
        <v>55</v>
      </c>
      <c r="C2" t="s">
        <v>90</v>
      </c>
      <c r="D2">
        <v>6.3647938539324905E-2</v>
      </c>
      <c r="E2">
        <v>30</v>
      </c>
    </row>
    <row r="3" spans="1:5" x14ac:dyDescent="0.25">
      <c r="A3" t="s">
        <v>89</v>
      </c>
      <c r="B3" t="s">
        <v>63</v>
      </c>
      <c r="C3" t="s">
        <v>90</v>
      </c>
      <c r="D3">
        <v>7.1094800421843907E-2</v>
      </c>
      <c r="E3">
        <v>30</v>
      </c>
    </row>
    <row r="4" spans="1:5" x14ac:dyDescent="0.25">
      <c r="A4" t="s">
        <v>89</v>
      </c>
      <c r="B4" t="s">
        <v>57</v>
      </c>
      <c r="C4" t="s">
        <v>90</v>
      </c>
      <c r="D4">
        <v>6.3674434506413899E-2</v>
      </c>
      <c r="E4">
        <v>30</v>
      </c>
    </row>
    <row r="5" spans="1:5" x14ac:dyDescent="0.25">
      <c r="A5" t="s">
        <v>89</v>
      </c>
      <c r="B5" t="s">
        <v>61</v>
      </c>
      <c r="C5" t="s">
        <v>90</v>
      </c>
      <c r="D5">
        <v>6.8470714744144595E-2</v>
      </c>
      <c r="E5">
        <v>30</v>
      </c>
    </row>
    <row r="6" spans="1:5" x14ac:dyDescent="0.25">
      <c r="A6" t="s">
        <v>89</v>
      </c>
      <c r="B6" t="s">
        <v>59</v>
      </c>
      <c r="C6" t="s">
        <v>90</v>
      </c>
      <c r="D6">
        <v>6.3383152578305305E-2</v>
      </c>
      <c r="E6">
        <v>30</v>
      </c>
    </row>
    <row r="7" spans="1:5" x14ac:dyDescent="0.25">
      <c r="A7" t="s">
        <v>91</v>
      </c>
      <c r="B7" t="s">
        <v>55</v>
      </c>
      <c r="C7" t="s">
        <v>90</v>
      </c>
      <c r="D7">
        <v>0.1546544</v>
      </c>
      <c r="E7">
        <v>30</v>
      </c>
    </row>
    <row r="8" spans="1:5" x14ac:dyDescent="0.25">
      <c r="A8" t="s">
        <v>91</v>
      </c>
      <c r="B8" t="s">
        <v>63</v>
      </c>
      <c r="C8" t="s">
        <v>90</v>
      </c>
      <c r="D8">
        <v>0.17274909999999999</v>
      </c>
      <c r="E8">
        <v>30</v>
      </c>
    </row>
    <row r="9" spans="1:5" x14ac:dyDescent="0.25">
      <c r="A9" t="s">
        <v>91</v>
      </c>
      <c r="B9" t="s">
        <v>57</v>
      </c>
      <c r="C9" t="s">
        <v>90</v>
      </c>
      <c r="D9">
        <v>0.15471879999999999</v>
      </c>
      <c r="E9">
        <v>30</v>
      </c>
    </row>
    <row r="10" spans="1:5" x14ac:dyDescent="0.25">
      <c r="A10" t="s">
        <v>91</v>
      </c>
      <c r="B10" t="s">
        <v>61</v>
      </c>
      <c r="C10" t="s">
        <v>90</v>
      </c>
      <c r="D10">
        <v>0.16637299999999999</v>
      </c>
      <c r="E10">
        <v>30</v>
      </c>
    </row>
    <row r="11" spans="1:5" x14ac:dyDescent="0.25">
      <c r="A11" t="s">
        <v>91</v>
      </c>
      <c r="B11" t="s">
        <v>59</v>
      </c>
      <c r="C11" t="s">
        <v>90</v>
      </c>
      <c r="D11">
        <v>0.15401100000000001</v>
      </c>
      <c r="E11">
        <v>30</v>
      </c>
    </row>
    <row r="12" spans="1:5" x14ac:dyDescent="0.25">
      <c r="A12" t="s">
        <v>89</v>
      </c>
      <c r="B12" t="s">
        <v>55</v>
      </c>
      <c r="C12" t="s">
        <v>90</v>
      </c>
      <c r="D12">
        <v>4.77359539044937E-2</v>
      </c>
      <c r="E12">
        <v>40</v>
      </c>
    </row>
    <row r="13" spans="1:5" x14ac:dyDescent="0.25">
      <c r="A13" t="s">
        <v>89</v>
      </c>
      <c r="B13" t="s">
        <v>63</v>
      </c>
      <c r="C13" t="s">
        <v>90</v>
      </c>
      <c r="D13">
        <v>5.3321100316382999E-2</v>
      </c>
      <c r="E13">
        <v>40</v>
      </c>
    </row>
    <row r="14" spans="1:5" x14ac:dyDescent="0.25">
      <c r="A14" t="s">
        <v>89</v>
      </c>
      <c r="B14" t="s">
        <v>57</v>
      </c>
      <c r="C14" t="s">
        <v>90</v>
      </c>
      <c r="D14">
        <v>4.77558258798104E-2</v>
      </c>
      <c r="E14">
        <v>40</v>
      </c>
    </row>
    <row r="15" spans="1:5" x14ac:dyDescent="0.25">
      <c r="A15" t="s">
        <v>89</v>
      </c>
      <c r="B15" t="s">
        <v>61</v>
      </c>
      <c r="C15" t="s">
        <v>90</v>
      </c>
      <c r="D15">
        <v>5.1353036058108502E-2</v>
      </c>
      <c r="E15">
        <v>40</v>
      </c>
    </row>
    <row r="16" spans="1:5" x14ac:dyDescent="0.25">
      <c r="A16" t="s">
        <v>89</v>
      </c>
      <c r="B16" t="s">
        <v>59</v>
      </c>
      <c r="C16" t="s">
        <v>90</v>
      </c>
      <c r="D16">
        <v>4.7537364433729003E-2</v>
      </c>
      <c r="E16">
        <v>40</v>
      </c>
    </row>
    <row r="17" spans="1:5" x14ac:dyDescent="0.25">
      <c r="A17" t="s">
        <v>89</v>
      </c>
      <c r="B17" t="s">
        <v>55</v>
      </c>
      <c r="C17" t="s">
        <v>90</v>
      </c>
      <c r="D17">
        <v>3.8188763123595003E-2</v>
      </c>
      <c r="E17">
        <v>50</v>
      </c>
    </row>
    <row r="18" spans="1:5" x14ac:dyDescent="0.25">
      <c r="A18" t="s">
        <v>89</v>
      </c>
      <c r="B18" t="s">
        <v>63</v>
      </c>
      <c r="C18" t="s">
        <v>90</v>
      </c>
      <c r="D18">
        <v>4.2656880253106398E-2</v>
      </c>
      <c r="E18">
        <v>50</v>
      </c>
    </row>
    <row r="19" spans="1:5" x14ac:dyDescent="0.25">
      <c r="A19" t="s">
        <v>89</v>
      </c>
      <c r="B19" t="s">
        <v>57</v>
      </c>
      <c r="C19" t="s">
        <v>90</v>
      </c>
      <c r="D19">
        <v>3.82046607038483E-2</v>
      </c>
      <c r="E19">
        <v>50</v>
      </c>
    </row>
    <row r="20" spans="1:5" x14ac:dyDescent="0.25">
      <c r="A20" t="s">
        <v>89</v>
      </c>
      <c r="B20" t="s">
        <v>61</v>
      </c>
      <c r="C20" t="s">
        <v>90</v>
      </c>
      <c r="D20">
        <v>4.1082428846486801E-2</v>
      </c>
      <c r="E20">
        <v>50</v>
      </c>
    </row>
    <row r="21" spans="1:5" x14ac:dyDescent="0.25">
      <c r="A21" t="s">
        <v>89</v>
      </c>
      <c r="B21" t="s">
        <v>59</v>
      </c>
      <c r="C21" t="s">
        <v>90</v>
      </c>
      <c r="D21">
        <v>3.8029891546983198E-2</v>
      </c>
      <c r="E21">
        <v>50</v>
      </c>
    </row>
    <row r="22" spans="1:5" x14ac:dyDescent="0.25">
      <c r="A22" t="s">
        <v>89</v>
      </c>
      <c r="B22" t="s">
        <v>55</v>
      </c>
      <c r="C22" t="s">
        <v>90</v>
      </c>
      <c r="D22">
        <v>3.1823969269662501E-2</v>
      </c>
      <c r="E22">
        <v>60</v>
      </c>
    </row>
    <row r="23" spans="1:5" x14ac:dyDescent="0.25">
      <c r="A23" t="s">
        <v>89</v>
      </c>
      <c r="B23" t="s">
        <v>63</v>
      </c>
      <c r="C23" t="s">
        <v>90</v>
      </c>
      <c r="D23">
        <v>3.5547400210922002E-2</v>
      </c>
      <c r="E23">
        <v>60</v>
      </c>
    </row>
    <row r="24" spans="1:5" x14ac:dyDescent="0.25">
      <c r="A24" t="s">
        <v>89</v>
      </c>
      <c r="B24" t="s">
        <v>57</v>
      </c>
      <c r="C24" t="s">
        <v>90</v>
      </c>
      <c r="D24">
        <v>3.1837217253206901E-2</v>
      </c>
      <c r="E24">
        <v>60</v>
      </c>
    </row>
    <row r="25" spans="1:5" x14ac:dyDescent="0.25">
      <c r="A25" t="s">
        <v>89</v>
      </c>
      <c r="B25" t="s">
        <v>61</v>
      </c>
      <c r="C25" t="s">
        <v>90</v>
      </c>
      <c r="D25">
        <v>3.4235357372072298E-2</v>
      </c>
      <c r="E25">
        <v>60</v>
      </c>
    </row>
    <row r="26" spans="1:5" x14ac:dyDescent="0.25">
      <c r="A26" t="s">
        <v>89</v>
      </c>
      <c r="B26" t="s">
        <v>59</v>
      </c>
      <c r="C26" t="s">
        <v>90</v>
      </c>
      <c r="D26">
        <v>3.1691576289152701E-2</v>
      </c>
      <c r="E26">
        <v>60</v>
      </c>
    </row>
    <row r="27" spans="1:5" x14ac:dyDescent="0.25">
      <c r="A27" t="s">
        <v>91</v>
      </c>
      <c r="B27" t="s">
        <v>55</v>
      </c>
      <c r="C27" t="s">
        <v>90</v>
      </c>
      <c r="D27">
        <v>0.11599080000000001</v>
      </c>
      <c r="E27">
        <v>40</v>
      </c>
    </row>
    <row r="28" spans="1:5" x14ac:dyDescent="0.25">
      <c r="A28" t="s">
        <v>91</v>
      </c>
      <c r="B28" t="s">
        <v>63</v>
      </c>
      <c r="C28" t="s">
        <v>90</v>
      </c>
      <c r="D28">
        <v>0.1295618</v>
      </c>
      <c r="E28">
        <v>40</v>
      </c>
    </row>
    <row r="29" spans="1:5" x14ac:dyDescent="0.25">
      <c r="A29" t="s">
        <v>91</v>
      </c>
      <c r="B29" t="s">
        <v>57</v>
      </c>
      <c r="C29" t="s">
        <v>90</v>
      </c>
      <c r="D29">
        <v>0.11603910000000001</v>
      </c>
      <c r="E29">
        <v>40</v>
      </c>
    </row>
    <row r="30" spans="1:5" x14ac:dyDescent="0.25">
      <c r="A30" t="s">
        <v>91</v>
      </c>
      <c r="B30" t="s">
        <v>61</v>
      </c>
      <c r="C30" t="s">
        <v>90</v>
      </c>
      <c r="D30">
        <v>0.1247798</v>
      </c>
      <c r="E30">
        <v>40</v>
      </c>
    </row>
    <row r="31" spans="1:5" x14ac:dyDescent="0.25">
      <c r="A31" t="s">
        <v>91</v>
      </c>
      <c r="B31" t="s">
        <v>59</v>
      </c>
      <c r="C31" t="s">
        <v>90</v>
      </c>
      <c r="D31">
        <v>0.11550829999999999</v>
      </c>
      <c r="E31">
        <v>40</v>
      </c>
    </row>
    <row r="32" spans="1:5" x14ac:dyDescent="0.25">
      <c r="A32" t="s">
        <v>91</v>
      </c>
      <c r="B32" t="s">
        <v>55</v>
      </c>
      <c r="C32" t="s">
        <v>90</v>
      </c>
      <c r="D32">
        <v>9.2792650000000004E-2</v>
      </c>
      <c r="E32">
        <v>50</v>
      </c>
    </row>
    <row r="33" spans="1:5" x14ac:dyDescent="0.25">
      <c r="A33" t="s">
        <v>91</v>
      </c>
      <c r="B33" t="s">
        <v>63</v>
      </c>
      <c r="C33" t="s">
        <v>90</v>
      </c>
      <c r="D33">
        <v>0.10364946999999999</v>
      </c>
      <c r="E33">
        <v>50</v>
      </c>
    </row>
    <row r="34" spans="1:5" x14ac:dyDescent="0.25">
      <c r="A34" t="s">
        <v>91</v>
      </c>
      <c r="B34" t="s">
        <v>57</v>
      </c>
      <c r="C34" t="s">
        <v>90</v>
      </c>
      <c r="D34">
        <v>9.2831280000000002E-2</v>
      </c>
      <c r="E34">
        <v>50</v>
      </c>
    </row>
    <row r="35" spans="1:5" x14ac:dyDescent="0.25">
      <c r="A35" t="s">
        <v>91</v>
      </c>
      <c r="B35" t="s">
        <v>61</v>
      </c>
      <c r="C35" t="s">
        <v>90</v>
      </c>
      <c r="D35">
        <v>9.9823800000000004E-2</v>
      </c>
      <c r="E35">
        <v>50</v>
      </c>
    </row>
    <row r="36" spans="1:5" x14ac:dyDescent="0.25">
      <c r="A36" t="s">
        <v>91</v>
      </c>
      <c r="B36" t="s">
        <v>59</v>
      </c>
      <c r="C36" t="s">
        <v>90</v>
      </c>
      <c r="D36">
        <v>9.2406619999999995E-2</v>
      </c>
      <c r="E36">
        <v>50</v>
      </c>
    </row>
    <row r="37" spans="1:5" x14ac:dyDescent="0.25">
      <c r="A37" t="s">
        <v>91</v>
      </c>
      <c r="B37" t="s">
        <v>55</v>
      </c>
      <c r="C37" t="s">
        <v>90</v>
      </c>
      <c r="D37">
        <v>7.7327209999999993E-2</v>
      </c>
      <c r="E37">
        <v>60</v>
      </c>
    </row>
    <row r="38" spans="1:5" x14ac:dyDescent="0.25">
      <c r="A38" t="s">
        <v>91</v>
      </c>
      <c r="B38" t="s">
        <v>63</v>
      </c>
      <c r="C38" t="s">
        <v>90</v>
      </c>
      <c r="D38">
        <v>8.6374560000000003E-2</v>
      </c>
      <c r="E38">
        <v>60</v>
      </c>
    </row>
    <row r="39" spans="1:5" x14ac:dyDescent="0.25">
      <c r="A39" t="s">
        <v>91</v>
      </c>
      <c r="B39" t="s">
        <v>57</v>
      </c>
      <c r="C39" t="s">
        <v>90</v>
      </c>
      <c r="D39">
        <v>7.7359399999999995E-2</v>
      </c>
      <c r="E39">
        <v>60</v>
      </c>
    </row>
    <row r="40" spans="1:5" x14ac:dyDescent="0.25">
      <c r="A40" t="s">
        <v>91</v>
      </c>
      <c r="B40" t="s">
        <v>61</v>
      </c>
      <c r="C40" t="s">
        <v>90</v>
      </c>
      <c r="D40">
        <v>8.3186499999999997E-2</v>
      </c>
      <c r="E40">
        <v>60</v>
      </c>
    </row>
    <row r="41" spans="1:5" x14ac:dyDescent="0.25">
      <c r="A41" t="s">
        <v>91</v>
      </c>
      <c r="B41" t="s">
        <v>59</v>
      </c>
      <c r="C41" t="s">
        <v>90</v>
      </c>
      <c r="D41">
        <v>7.7005519999999994E-2</v>
      </c>
      <c r="E41">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18</vt:i4>
      </vt:variant>
    </vt:vector>
  </HeadingPairs>
  <TitlesOfParts>
    <vt:vector size="18" baseType="lpstr">
      <vt:lpstr>Mammuthus.primigenius</vt:lpstr>
      <vt:lpstr>Bison.priscus</vt:lpstr>
      <vt:lpstr>Bos.primigenius</vt:lpstr>
      <vt:lpstr>Equus.hydruntinus</vt:lpstr>
      <vt:lpstr>Equus.ferus</vt:lpstr>
      <vt:lpstr>Cervus.elaphus</vt:lpstr>
      <vt:lpstr>Sus.scrofa</vt:lpstr>
      <vt:lpstr>Capreolus.capreolus</vt:lpstr>
      <vt:lpstr>Capra.pyrenaica</vt:lpstr>
      <vt:lpstr>Rupicapra.rupicapra</vt:lpstr>
      <vt:lpstr>Oryctolagus</vt:lpstr>
      <vt:lpstr>Fauna_Padul_Pleistocene</vt:lpstr>
      <vt:lpstr>Fauna_Padul_Holocene</vt:lpstr>
      <vt:lpstr>Actual_Pleistocene</vt:lpstr>
      <vt:lpstr>Actual_Holocene</vt:lpstr>
      <vt:lpstr>Biomass</vt:lpstr>
      <vt:lpstr>Summary_Biomass</vt:lpstr>
      <vt:lpstr>Human_CC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Vidal Cordasco, Marco Adolfo</dc:creator>
  <cp:lastModifiedBy>Marco Vidal Cordasco</cp:lastModifiedBy>
  <dcterms:created xsi:type="dcterms:W3CDTF">2025-10-20T14:35:05Z</dcterms:created>
  <dcterms:modified xsi:type="dcterms:W3CDTF">2025-11-07T10:50:52Z</dcterms:modified>
</cp:coreProperties>
</file>