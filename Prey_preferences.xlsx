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6\brGDGT-NPP\NatComm\GitHUB\"/>
    </mc:Choice>
  </mc:AlternateContent>
  <xr:revisionPtr revIDLastSave="0" documentId="8_{8B8E7CC9-8B44-40A3-8FE3-6E86AE0E6B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et_30_Pleistocene" sheetId="1" r:id="rId1"/>
    <sheet name="Diet_30_Holocene" sheetId="12" r:id="rId2"/>
    <sheet name="Diet_40_Pleistocene" sheetId="14" r:id="rId3"/>
    <sheet name="Diet_40_Holocene" sheetId="15" r:id="rId4"/>
    <sheet name="Diet_50_Pleistocene" sheetId="16" r:id="rId5"/>
    <sheet name="Diet_50_Holocene" sheetId="17" r:id="rId6"/>
    <sheet name="Diet_60_Pleistocene" sheetId="18" r:id="rId7"/>
    <sheet name="Diet_60_Holocene" sheetId="19" r:id="rId8"/>
    <sheet name="dB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9" l="1"/>
  <c r="H3" i="19"/>
  <c r="G3" i="19"/>
  <c r="F3" i="19"/>
  <c r="E3" i="19"/>
  <c r="D3" i="19"/>
  <c r="C3" i="19"/>
  <c r="B3" i="19"/>
  <c r="I3" i="17"/>
  <c r="H3" i="17"/>
  <c r="G3" i="17"/>
  <c r="F3" i="17"/>
  <c r="E3" i="17"/>
  <c r="D3" i="17"/>
  <c r="C3" i="17"/>
  <c r="B3" i="17"/>
  <c r="I3" i="15"/>
  <c r="H3" i="15"/>
  <c r="G3" i="15"/>
  <c r="F3" i="15"/>
  <c r="E3" i="15"/>
  <c r="D3" i="15"/>
  <c r="C3" i="15"/>
  <c r="B3" i="15"/>
  <c r="L3" i="18"/>
  <c r="K3" i="18"/>
  <c r="J3" i="18"/>
  <c r="I3" i="18"/>
  <c r="H3" i="18"/>
  <c r="G3" i="18"/>
  <c r="F3" i="18"/>
  <c r="E3" i="18"/>
  <c r="D3" i="18"/>
  <c r="C3" i="18"/>
  <c r="B3" i="18"/>
  <c r="L3" i="16"/>
  <c r="K3" i="16"/>
  <c r="J3" i="16"/>
  <c r="I3" i="16"/>
  <c r="H3" i="16"/>
  <c r="G3" i="16"/>
  <c r="F3" i="16"/>
  <c r="E3" i="16"/>
  <c r="D3" i="16"/>
  <c r="C3" i="16"/>
  <c r="B3" i="16"/>
  <c r="L3" i="14"/>
  <c r="K3" i="14"/>
  <c r="J3" i="14"/>
  <c r="I3" i="14"/>
  <c r="H3" i="14"/>
  <c r="G3" i="14"/>
  <c r="F3" i="14"/>
  <c r="E3" i="14"/>
  <c r="D3" i="14"/>
  <c r="C3" i="14"/>
  <c r="B3" i="14"/>
  <c r="I3" i="12"/>
  <c r="H3" i="12"/>
  <c r="G3" i="12"/>
  <c r="F3" i="12"/>
  <c r="E3" i="12"/>
  <c r="D3" i="12"/>
  <c r="C3" i="12"/>
  <c r="B3" i="12"/>
  <c r="L3" i="1"/>
  <c r="J3" i="1"/>
  <c r="C3" i="1"/>
  <c r="D3" i="1"/>
  <c r="E3" i="1"/>
  <c r="B3" i="1"/>
  <c r="F3" i="1" l="1"/>
  <c r="H3" i="1"/>
  <c r="I3" i="1"/>
  <c r="K3" i="1"/>
  <c r="G3" i="1" l="1"/>
</calcChain>
</file>

<file path=xl/sharedStrings.xml><?xml version="1.0" encoding="utf-8"?>
<sst xmlns="http://schemas.openxmlformats.org/spreadsheetml/2006/main" count="160" uniqueCount="20">
  <si>
    <t>Weight_Category</t>
  </si>
  <si>
    <t>Ursus.arctos</t>
  </si>
  <si>
    <t>Panthera.pardus</t>
  </si>
  <si>
    <t>Crocuta.crocuta</t>
  </si>
  <si>
    <t>Canis.lupus</t>
  </si>
  <si>
    <t>Meles.meles</t>
  </si>
  <si>
    <t>Vulpes.vulpes</t>
  </si>
  <si>
    <t>Felis.silvestris</t>
  </si>
  <si>
    <t>Homo.sapiens</t>
  </si>
  <si>
    <t>db</t>
  </si>
  <si>
    <t>BM</t>
  </si>
  <si>
    <t>Small</t>
  </si>
  <si>
    <t>Medium</t>
  </si>
  <si>
    <t>Large</t>
  </si>
  <si>
    <t>MedLarge</t>
  </si>
  <si>
    <t>%Meat_in_Diet</t>
  </si>
  <si>
    <t>Lynx.pardinus</t>
  </si>
  <si>
    <t>Cuon.alpinus</t>
  </si>
  <si>
    <t>Martes.martes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</si>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</sst>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Fill="1"/>
    <xf numFmtId="2" fontId="1" fillId="0" borderId="0" xfId="0" applyNumberFormat="1" applyFont="1" applyFill="1"/>
    <xf numFmtId="2" fontId="1" fillId="0" borderId="0" xfId="0" applyNumberFormat="1" applyFont="1" applyAlignment="1">
      <alignment vertical="center"/>
    </xf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RODRIGUEZ GOMEZ" id="{2F55FFAE-C56F-4F47-801F-FD0822C2E92C}" userId="S::guilro06@ucm.es::d54e8f78-939d-4549-987e-b8fb07be51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11-11T13:26:39.45" personId="{2F55FFAE-C56F-4F47-801F-FD0822C2E92C}" id="{B72AB260-4C34-494C-B364-2D1F742AA4E6}">
    <text xml:space="preserve">Aunque lo he usado para el otro trabajo que estamos haciendo, creo que este peso debe de ser de máximos. En Prado et al. 2004 lo estimaban en 193 kg. </text>
  </threadedComment>
  <threadedComment ref="D2" dT="2024-11-11T13:26:50.64" personId="{2F55FFAE-C56F-4F47-801F-FD0822C2E92C}" id="{992A5125-D794-40B1-949E-78DAF031F2DC}" parentId="{B72AB260-4C34-494C-B364-2D1F742AA4E6}">
    <text>Prado JL, Alberdi MT, Azanza B, Rodríguez J (2004) Patterns of body-size change in large mammals during the Late Cenozoic in the Northwestern Mediterranean. Paleoantología Miscelánea en homenaje a Emiliano Aguirre:467-479</text>
  </threadedComment>
  <threadedComment ref="B4" dT="2024-11-08T13:55:47.64" personId="{2F55FFAE-C56F-4F47-801F-FD0822C2E92C}" id="{4898FF63-CB91-4B79-94B2-307DDBF21EAF}">
    <text>Se considera que U. spelaeus básicamente era herbívoro. Yo lo modelizo como que sólo el 1% de su dieta sería carne de mamíferos obtenida en forma de carroña. Por esta razón, no hay preferencia por ninguna de las clases de tamaño, comía lo que se encontraba.</text>
  </threadedComment>
  <threadedComment ref="C4" dT="2024-11-08T14:00:25.45" personId="{2F55FFAE-C56F-4F47-801F-FD0822C2E92C}" id="{A0B67B88-19A1-4B8E-B4BF-B481D8F15F9B}">
    <text>Considero que el 10% de la dieta en mamíferos sería un promedio anual porque según la estación consumen desde 5 al 20% de carne. Lo he usado en otros trabajos y también lo usaría aquí.</text>
  </threadedComment>
  <threadedComment ref="C4" dT="2024-11-08T14:00:35.23" personId="{2F55FFAE-C56F-4F47-801F-FD0822C2E92C}" id="{E5DDEF83-B50F-411F-88D5-22F34D19DE37}" parentId="{A0B67B88-19A1-4B8E-B4BF-B481D8F15F9B}">
    <text xml:space="preserve">Clevenger et al., 1992; Parde and Camarra, 1992; Bocherens et al., 2004; Purroy, 2017 </text>
  </threadedComment>
  <threadedComment ref="G4" dT="2024-11-08T15:19:40.32" personId="{2F55FFAE-C56F-4F47-801F-FD0822C2E92C}" id="{8487D13F-DA3E-4117-B33A-1A8752EAA053}">
    <text>Normalmente, reduzco este porcentaje un poco (98%) porque son capaces de aprovechar el tuétano, pero lo podemos dejar así.</text>
  </threadedComment>
  <threadedComment ref="K4" dT="2024-11-11T11:55:26.73" personId="{2F55FFAE-C56F-4F47-801F-FD0822C2E92C}" id="{A23B87D3-1E70-4A37-B7B9-8AF1A45661F1}">
    <text>Según Sillero-Zubiri (2009), la presa principal del zorro ártico suelen ser roedores, variando su porcentaje a lo largo del año. En Fenoscandia en verano, la presa principal son los lemmings, seguidos de aves (paseriformes, galliformes y caradriformes) y renos. En invierno, las presas principales son gansos y perdices, seguidas de roedores y renos.</text>
  </threadedComment>
  <threadedComment ref="K4" dT="2024-11-11T11:56:49.66" personId="{2F55FFAE-C56F-4F47-801F-FD0822C2E92C}" id="{A3B857B5-3360-407C-A8B3-C3B2B8EBE6F7}" parentId="{A23B87D3-1E70-4A37-B7B9-8AF1A45661F1}">
    <text xml:space="preserve">Sillero-Zubiri, C. (2009). Family CANIDAE (DOGS). Pp. 352-447. In: Wilson, E., Mittermeier, R.A. (Eds.) Handbook of the Mammals of The World. Vol. 1. Carnivores, Lynx Editions, Barcelona. </text>
  </threadedComment>
  <threadedComment ref="K4" dT="2024-11-11T12:03:11.45" personId="{2F55FFAE-C56F-4F47-801F-FD0822C2E92C}" id="{047E0252-AF2D-4FCD-9544-0D2D10BB77CF}" parentId="{A23B87D3-1E70-4A37-B7B9-8AF1A45661F1}">
    <text>Se observa presencia de restos de renos en un 21% de heces recogidas en verano, pero eso no quiere decir que suponga el 21%. Creo que no pondría más de un 10% de consumo en estas categorías y entiendo que sería un consumo como oportunista y carroñero. De esta forma, pongo un 5% en las dos categorías.</text>
  </threadedComment>
  <threadedComment ref="L4" dT="2024-11-11T13:15:21.72" personId="{2F55FFAE-C56F-4F47-801F-FD0822C2E92C}" id="{D283829F-D295-4D1F-8035-317D7BA8B496}">
    <text>En Europa continental, los gatos salvajes se alimentan principalmente de ratones y topillos, pero en Escocia, los conejos y otros lagomorfos pueden ser el alimento principal, alcanzando hasta el 70% en el este (Sunquist, M.E., and Sunquist, F.C., 2009. Family Felidae (Cats). In:Wilson, E., Mittermeier, R.A. (Eds.) Handbook of the Mammals of The World. Vol. 1. Carnivores, Lynx Editions, Barcelona</text>
  </threadedComment>
  <threadedComment ref="I5" dT="2024-11-11T11:17:15.32" personId="{2F55FFAE-C56F-4F47-801F-FD0822C2E92C}" id="{CBD49ED1-A9C8-4124-BC40-8807CBBBB6F2}">
    <text xml:space="preserve">Larivière, S., Jennings, A.P., 2009. Family MUSTELIDAE (WEASELS AND RELATIVES), pp. 564-664. In: Wilson, E., Mittermeier, R.A. (Eds.) Handbook of the Mammals of The World. Vol. 1. Carnivores, Lynx Editions, Barcelona </text>
  </threadedComment>
  <threadedComment ref="I5" dT="2024-11-11T11:26:15.53" personId="{2F55FFAE-C56F-4F47-801F-FD0822C2E92C}" id="{BAC6F181-1DEF-4DDF-A32B-ED0C20188CDC}" parentId="{CBD49ED1-A9C8-4124-BC40-8807CBBBB6F2}">
    <text>Dicen que los mamíferos (roedores y lagomorfos) suponen el 7.2%. Como la categoría Small es para individuos de entre 1 y 10 kg, la mayor parte de los roedores quedarían fuera de este rango y sólo se contemplarían a los lagomorfos. No pondría más de 5% de la dieta del tejón en esta categoría y creo que debería ser menos.</text>
  </threadedComment>
  <threadedComment ref="J5" dT="2024-11-11T12:21:13.33" personId="{2F55FFAE-C56F-4F47-801F-FD0822C2E92C}" id="{964D7449-25DE-4FFA-B005-7BA1983F01B7}">
    <text xml:space="preserve">Son omnívoro flexibles y oportunistas, con dietas que van desde invertebrados a mamíferos, aves, fruta y carroña (Sillero-Zubiri 2009).  Los pequeños mamíferos terrestres, lagomorfos y esciúridos constituyen la parte más importante de la dieta (Lariviere and Pasitschniak-Arts 1996).
Como depredadores, matan a aves y mamíferos de hasta 3.5kg (Sillero-Zubiri 2009). </text>
  </threadedComment>
  <threadedComment ref="J5" dT="2024-11-11T12:35:17.97" personId="{2F55FFAE-C56F-4F47-801F-FD0822C2E92C}" id="{13B367FB-532E-4AB7-B4D7-0EB505C98D95}" parentId="{964D7449-25DE-4FFA-B005-7BA1983F01B7}">
    <text>Yo no pondría más de ese 10% de la dieta en mamíferos de más de 1kg, aunque consuman de forma oportunista carroña de animales de mayor talla.</text>
  </threadedComment>
  <threadedComment ref="D6" dT="2024-11-11T14:16:41.44" personId="{2F55FFAE-C56F-4F47-801F-FD0822C2E92C}" id="{F4D69906-8BFC-4930-B5BB-709FAD0430FE}">
    <text>En el otro trabajo que estamos haciendo, utilizo el mismo perfil de consumo que los leones. De esta forma, utilizaría el mismo perfil.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22" sqref="C22"/>
    </sheetView>
  </sheetViews>
  <sheetFormatPr baseColWidth="10" defaultColWidth="9.109375" defaultRowHeight="13.2"/>
  <cols>
    <col min="1" max="1" width="15.33203125" style="1" bestFit="1" customWidth="1"/>
    <col min="2" max="2" width="12" style="1" bestFit="1" customWidth="1"/>
    <col min="3" max="3" width="14.44140625" style="1" bestFit="1" customWidth="1"/>
    <col min="4" max="4" width="14.109375" style="1" bestFit="1" customWidth="1"/>
    <col min="5" max="7" width="12" style="1" bestFit="1" customWidth="1"/>
    <col min="8" max="8" width="12.109375" style="1" bestFit="1" customWidth="1"/>
    <col min="9" max="11" width="12.109375" style="1" customWidth="1"/>
    <col min="12" max="12" width="12.44140625" style="1" bestFit="1" customWidth="1"/>
    <col min="13" max="16384" width="9.10937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8</v>
      </c>
    </row>
    <row r="2" spans="1:14">
      <c r="A2" s="1" t="s">
        <v>10</v>
      </c>
      <c r="B2" s="1">
        <v>180.52</v>
      </c>
      <c r="C2" s="1">
        <v>54.99</v>
      </c>
      <c r="D2" s="1">
        <v>62.99</v>
      </c>
      <c r="E2" s="1">
        <v>32.18</v>
      </c>
      <c r="F2" s="1">
        <v>13</v>
      </c>
      <c r="G2" s="1">
        <v>5.31</v>
      </c>
      <c r="H2" s="1">
        <v>5.5</v>
      </c>
      <c r="I2" s="1">
        <v>9.4</v>
      </c>
      <c r="J2" s="1">
        <v>12.76</v>
      </c>
      <c r="K2" s="1">
        <v>1.3</v>
      </c>
      <c r="L2" s="1">
        <v>59.5</v>
      </c>
    </row>
    <row r="3" spans="1:14">
      <c r="A3" s="1" t="s">
        <v>9</v>
      </c>
      <c r="B3" s="1">
        <f t="shared" ref="B3:K3" si="0">(((10^(0.69686*LOG10(B2*1000)+0.27747))/1500)*365) * (B4/100)</f>
        <v>212.1943633444298</v>
      </c>
      <c r="C3" s="1">
        <f t="shared" si="0"/>
        <v>926.79934523613747</v>
      </c>
      <c r="D3" s="1">
        <f t="shared" si="0"/>
        <v>1003.5251217983529</v>
      </c>
      <c r="E3" s="1">
        <f>(((10^(0.69686*LOG10(E2*1000)+0.27747))/1500)*365) * (E4/100)</f>
        <v>638.01077461099499</v>
      </c>
      <c r="F3" s="1">
        <f t="shared" si="0"/>
        <v>16.962277902661903</v>
      </c>
      <c r="G3" s="1">
        <f t="shared" si="0"/>
        <v>18.177785456895528</v>
      </c>
      <c r="H3" s="1">
        <f t="shared" si="0"/>
        <v>9.314311403891665</v>
      </c>
      <c r="I3" s="1">
        <f t="shared" si="0"/>
        <v>270.63594734604294</v>
      </c>
      <c r="J3" s="1">
        <f t="shared" si="0"/>
        <v>301.38193422624812</v>
      </c>
      <c r="K3" s="1">
        <f t="shared" si="0"/>
        <v>40.907733713668812</v>
      </c>
      <c r="L3" s="1">
        <f>((((70*((L2)^0.75)/1500)*1.5)   *365)*(L4/100))</f>
        <v>164.21010677491384</v>
      </c>
    </row>
    <row r="4" spans="1:14">
      <c r="A4" s="1" t="s">
        <v>15</v>
      </c>
      <c r="B4" s="2">
        <v>10</v>
      </c>
      <c r="C4" s="2">
        <v>100</v>
      </c>
      <c r="D4" s="2">
        <v>98.5</v>
      </c>
      <c r="E4" s="2">
        <v>100</v>
      </c>
      <c r="F4" s="2">
        <v>5</v>
      </c>
      <c r="G4" s="2">
        <v>10</v>
      </c>
      <c r="H4" s="2">
        <v>5</v>
      </c>
      <c r="I4" s="2">
        <v>100</v>
      </c>
      <c r="J4" s="2">
        <v>90</v>
      </c>
      <c r="K4" s="2">
        <v>60</v>
      </c>
      <c r="L4" s="6">
        <v>30</v>
      </c>
    </row>
    <row r="5" spans="1:14">
      <c r="A5" s="1" t="s">
        <v>11</v>
      </c>
      <c r="B5" s="5">
        <v>0.25</v>
      </c>
      <c r="C5" s="5">
        <v>0.02</v>
      </c>
      <c r="D5" s="5">
        <v>0</v>
      </c>
      <c r="E5" s="5">
        <v>0.03</v>
      </c>
      <c r="F5" s="5">
        <v>1</v>
      </c>
      <c r="G5" s="5">
        <v>1</v>
      </c>
      <c r="H5" s="5">
        <v>1</v>
      </c>
      <c r="I5" s="5">
        <v>0.75</v>
      </c>
      <c r="J5" s="5">
        <v>0.22222222222222221</v>
      </c>
      <c r="K5" s="5">
        <v>0.83333333333333348</v>
      </c>
      <c r="L5" s="5">
        <v>0.14000000000000001</v>
      </c>
    </row>
    <row r="6" spans="1:14">
      <c r="A6" s="1" t="s">
        <v>12</v>
      </c>
      <c r="B6" s="5">
        <v>0.25</v>
      </c>
      <c r="C6" s="2">
        <v>0.8</v>
      </c>
      <c r="D6" s="2">
        <v>0.45177664974619292</v>
      </c>
      <c r="E6" s="5">
        <v>0.3</v>
      </c>
      <c r="F6" s="2">
        <v>0</v>
      </c>
      <c r="G6" s="5">
        <v>0</v>
      </c>
      <c r="H6" s="5">
        <v>0</v>
      </c>
      <c r="I6" s="5">
        <v>0.25</v>
      </c>
      <c r="J6" s="5">
        <v>0.44444444444444442</v>
      </c>
      <c r="K6" s="5">
        <v>0.16666666666666663</v>
      </c>
      <c r="L6" s="5">
        <v>0.46</v>
      </c>
    </row>
    <row r="7" spans="1:14">
      <c r="A7" s="1" t="s">
        <v>14</v>
      </c>
      <c r="B7" s="5">
        <v>0.25</v>
      </c>
      <c r="C7" s="2">
        <v>0.18</v>
      </c>
      <c r="D7" s="2">
        <v>0.40101522842639592</v>
      </c>
      <c r="E7" s="5">
        <v>0.64</v>
      </c>
      <c r="F7" s="2">
        <v>0</v>
      </c>
      <c r="G7" s="5">
        <v>0</v>
      </c>
      <c r="H7" s="5">
        <v>0</v>
      </c>
      <c r="I7" s="5">
        <v>0</v>
      </c>
      <c r="J7" s="5">
        <v>0.27777777777777779</v>
      </c>
      <c r="K7" s="5">
        <v>0</v>
      </c>
      <c r="L7" s="5">
        <v>0.3</v>
      </c>
    </row>
    <row r="8" spans="1:14">
      <c r="A8" s="1" t="s">
        <v>13</v>
      </c>
      <c r="B8" s="5">
        <v>0.25</v>
      </c>
      <c r="C8" s="2">
        <v>0</v>
      </c>
      <c r="D8" s="2">
        <v>0.14720812182741116</v>
      </c>
      <c r="E8" s="5">
        <v>0.03</v>
      </c>
      <c r="F8" s="2">
        <v>0</v>
      </c>
      <c r="G8" s="5">
        <v>0</v>
      </c>
      <c r="H8" s="5">
        <v>0</v>
      </c>
      <c r="I8" s="5">
        <v>0</v>
      </c>
      <c r="J8" s="5">
        <v>5.5555555555555552E-2</v>
      </c>
      <c r="K8" s="5">
        <v>0</v>
      </c>
      <c r="L8" s="5">
        <v>0.1</v>
      </c>
    </row>
    <row r="9" spans="1:14" ht="15" customHeight="1">
      <c r="M9" s="3"/>
      <c r="N9" s="3"/>
    </row>
    <row r="10" spans="1:14">
      <c r="M10" s="3"/>
      <c r="N10" s="4"/>
    </row>
    <row r="11" spans="1:14">
      <c r="M11" s="3"/>
      <c r="N11" s="4"/>
    </row>
    <row r="12" spans="1:14">
      <c r="M12" s="3"/>
      <c r="N12" s="4"/>
    </row>
    <row r="13" spans="1:14">
      <c r="M13" s="3"/>
      <c r="N13" s="4"/>
    </row>
    <row r="14" spans="1:14">
      <c r="M14" s="3"/>
      <c r="N14" s="3"/>
    </row>
    <row r="29" spans="5:5">
      <c r="E29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D9F6-0015-4B47-A40C-01FFD12D1AF1}">
  <dimension ref="A1:K29"/>
  <sheetViews>
    <sheetView workbookViewId="0">
      <selection sqref="A1:XFD1048576"/>
    </sheetView>
  </sheetViews>
  <sheetFormatPr baseColWidth="10" defaultColWidth="9.109375" defaultRowHeight="13.2"/>
  <cols>
    <col min="1" max="1" width="15.33203125" style="1" bestFit="1" customWidth="1"/>
    <col min="2" max="5" width="12" style="1" bestFit="1" customWidth="1"/>
    <col min="6" max="6" width="12.109375" style="1" bestFit="1" customWidth="1"/>
    <col min="7" max="8" width="12.109375" style="1" customWidth="1"/>
    <col min="9" max="9" width="12.44140625" style="1" bestFit="1" customWidth="1"/>
    <col min="10" max="16384" width="9.109375" style="1"/>
  </cols>
  <sheetData>
    <row r="1" spans="1:1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16</v>
      </c>
      <c r="H1" s="1" t="s">
        <v>18</v>
      </c>
      <c r="I1" s="1" t="s">
        <v>8</v>
      </c>
    </row>
    <row r="2" spans="1:11">
      <c r="A2" s="1" t="s">
        <v>10</v>
      </c>
      <c r="B2" s="1">
        <v>180.52</v>
      </c>
      <c r="C2" s="1">
        <v>32.18</v>
      </c>
      <c r="D2" s="1">
        <v>13</v>
      </c>
      <c r="E2" s="1">
        <v>5.31</v>
      </c>
      <c r="F2" s="1">
        <v>5.5</v>
      </c>
      <c r="G2" s="1">
        <v>9.4</v>
      </c>
      <c r="H2" s="1">
        <v>1.3</v>
      </c>
      <c r="I2" s="1">
        <v>59.5</v>
      </c>
    </row>
    <row r="3" spans="1:11">
      <c r="A3" s="1" t="s">
        <v>9</v>
      </c>
      <c r="B3" s="1">
        <f t="shared" ref="B3:H3" si="0">(((10^(0.69686*LOG10(B2*1000)+0.27747))/1500)*365) * (B4/100)</f>
        <v>212.1943633444298</v>
      </c>
      <c r="C3" s="1">
        <f>(((10^(0.69686*LOG10(C2*1000)+0.27747))/1500)*365) * (C4/100)</f>
        <v>638.01077461099499</v>
      </c>
      <c r="D3" s="1">
        <f t="shared" si="0"/>
        <v>16.962277902661903</v>
      </c>
      <c r="E3" s="1">
        <f t="shared" si="0"/>
        <v>18.177785456895528</v>
      </c>
      <c r="F3" s="1">
        <f t="shared" si="0"/>
        <v>9.314311403891665</v>
      </c>
      <c r="G3" s="1">
        <f t="shared" si="0"/>
        <v>270.63594734604294</v>
      </c>
      <c r="H3" s="1">
        <f t="shared" si="0"/>
        <v>40.907733713668812</v>
      </c>
      <c r="I3" s="1">
        <f>((((70*((I2)^0.75)/1500)*1.5)   *365)*(I4/100))</f>
        <v>164.21010677491384</v>
      </c>
    </row>
    <row r="4" spans="1:11">
      <c r="A4" s="1" t="s">
        <v>15</v>
      </c>
      <c r="B4" s="2">
        <v>10</v>
      </c>
      <c r="C4" s="2">
        <v>100</v>
      </c>
      <c r="D4" s="2">
        <v>5</v>
      </c>
      <c r="E4" s="2">
        <v>10</v>
      </c>
      <c r="F4" s="2">
        <v>5</v>
      </c>
      <c r="G4" s="2">
        <v>100</v>
      </c>
      <c r="H4" s="2">
        <v>60</v>
      </c>
      <c r="I4" s="6">
        <v>30</v>
      </c>
    </row>
    <row r="5" spans="1:11">
      <c r="A5" s="1" t="s">
        <v>11</v>
      </c>
      <c r="B5" s="5">
        <v>0.25</v>
      </c>
      <c r="C5" s="5">
        <v>0.03</v>
      </c>
      <c r="D5" s="5">
        <v>1</v>
      </c>
      <c r="E5" s="5">
        <v>1</v>
      </c>
      <c r="F5" s="5">
        <v>1</v>
      </c>
      <c r="G5" s="5">
        <v>0.75</v>
      </c>
      <c r="H5" s="5">
        <v>0.83333333333333348</v>
      </c>
      <c r="I5" s="5">
        <v>0.14000000000000001</v>
      </c>
    </row>
    <row r="6" spans="1:11">
      <c r="A6" s="1" t="s">
        <v>12</v>
      </c>
      <c r="B6" s="5">
        <v>0.25</v>
      </c>
      <c r="C6" s="5">
        <v>0.3</v>
      </c>
      <c r="D6" s="2">
        <v>0</v>
      </c>
      <c r="E6" s="5">
        <v>0</v>
      </c>
      <c r="F6" s="5">
        <v>0</v>
      </c>
      <c r="G6" s="5">
        <v>0.25</v>
      </c>
      <c r="H6" s="5">
        <v>0.16666666666666663</v>
      </c>
      <c r="I6" s="5">
        <v>0.46</v>
      </c>
    </row>
    <row r="7" spans="1:11">
      <c r="A7" s="1" t="s">
        <v>14</v>
      </c>
      <c r="B7" s="5">
        <v>0.25</v>
      </c>
      <c r="C7" s="5">
        <v>0.64</v>
      </c>
      <c r="D7" s="2">
        <v>0</v>
      </c>
      <c r="E7" s="5">
        <v>0</v>
      </c>
      <c r="F7" s="5">
        <v>0</v>
      </c>
      <c r="G7" s="5">
        <v>0</v>
      </c>
      <c r="H7" s="5">
        <v>0</v>
      </c>
      <c r="I7" s="5">
        <v>0.3</v>
      </c>
    </row>
    <row r="8" spans="1:11">
      <c r="A8" s="1" t="s">
        <v>13</v>
      </c>
      <c r="B8" s="5">
        <v>0.25</v>
      </c>
      <c r="C8" s="5">
        <v>0.03</v>
      </c>
      <c r="D8" s="2">
        <v>0</v>
      </c>
      <c r="E8" s="5">
        <v>0</v>
      </c>
      <c r="F8" s="5">
        <v>0</v>
      </c>
      <c r="G8" s="5">
        <v>0</v>
      </c>
      <c r="H8" s="5">
        <v>0</v>
      </c>
      <c r="I8" s="5">
        <v>0.1</v>
      </c>
    </row>
    <row r="9" spans="1:11" ht="15" customHeight="1">
      <c r="J9" s="3"/>
      <c r="K9" s="3"/>
    </row>
    <row r="10" spans="1:11">
      <c r="J10" s="3"/>
      <c r="K10" s="4"/>
    </row>
    <row r="11" spans="1:11">
      <c r="J11" s="3"/>
      <c r="K11" s="4"/>
    </row>
    <row r="12" spans="1:11">
      <c r="J12" s="3"/>
      <c r="K12" s="4"/>
    </row>
    <row r="13" spans="1:11">
      <c r="J13" s="3"/>
      <c r="K13" s="4"/>
    </row>
    <row r="14" spans="1:11">
      <c r="J14" s="3"/>
      <c r="K14" s="3"/>
    </row>
    <row r="29" spans="3:3">
      <c r="C29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117B-8EB0-4DB5-89A6-37B7FE8DCDF2}">
  <dimension ref="A1:L8"/>
  <sheetViews>
    <sheetView workbookViewId="0">
      <selection sqref="A1:XFD1048576"/>
    </sheetView>
  </sheetViews>
  <sheetFormatPr baseColWidth="10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8</v>
      </c>
    </row>
    <row r="2" spans="1:12">
      <c r="A2" s="1" t="s">
        <v>10</v>
      </c>
      <c r="B2" s="1">
        <v>180.52</v>
      </c>
      <c r="C2" s="1">
        <v>54.99</v>
      </c>
      <c r="D2" s="1">
        <v>62.99</v>
      </c>
      <c r="E2" s="1">
        <v>32.18</v>
      </c>
      <c r="F2" s="1">
        <v>13</v>
      </c>
      <c r="G2" s="1">
        <v>5.31</v>
      </c>
      <c r="H2" s="1">
        <v>5.5</v>
      </c>
      <c r="I2" s="1">
        <v>9.4</v>
      </c>
      <c r="J2" s="1">
        <v>12.76</v>
      </c>
      <c r="K2" s="1">
        <v>1.3</v>
      </c>
      <c r="L2" s="1">
        <v>59.5</v>
      </c>
    </row>
    <row r="3" spans="1:12">
      <c r="A3" s="1" t="s">
        <v>9</v>
      </c>
      <c r="B3" s="1">
        <f t="shared" ref="B3:K3" si="0">(((10^(0.69686*LOG10(B2*1000)+0.27747))/1500)*365) * (B4/100)</f>
        <v>212.1943633444298</v>
      </c>
      <c r="C3" s="1">
        <f t="shared" si="0"/>
        <v>926.79934523613747</v>
      </c>
      <c r="D3" s="1">
        <f t="shared" si="0"/>
        <v>1003.5251217983529</v>
      </c>
      <c r="E3" s="1">
        <f>(((10^(0.69686*LOG10(E2*1000)+0.27747))/1500)*365) * (E4/100)</f>
        <v>638.01077461099499</v>
      </c>
      <c r="F3" s="1">
        <f t="shared" si="0"/>
        <v>16.962277902661903</v>
      </c>
      <c r="G3" s="1">
        <f t="shared" si="0"/>
        <v>18.177785456895528</v>
      </c>
      <c r="H3" s="1">
        <f t="shared" si="0"/>
        <v>9.314311403891665</v>
      </c>
      <c r="I3" s="1">
        <f t="shared" si="0"/>
        <v>270.63594734604294</v>
      </c>
      <c r="J3" s="1">
        <f t="shared" si="0"/>
        <v>301.38193422624812</v>
      </c>
      <c r="K3" s="1">
        <f t="shared" si="0"/>
        <v>40.907733713668812</v>
      </c>
      <c r="L3" s="1">
        <f>((((70*((L2)^0.75)/1500)*1.5)   *365)*(L4/100))</f>
        <v>218.94680903321847</v>
      </c>
    </row>
    <row r="4" spans="1:12">
      <c r="A4" s="1" t="s">
        <v>15</v>
      </c>
      <c r="B4" s="2">
        <v>10</v>
      </c>
      <c r="C4" s="2">
        <v>100</v>
      </c>
      <c r="D4" s="2">
        <v>98.5</v>
      </c>
      <c r="E4" s="2">
        <v>100</v>
      </c>
      <c r="F4" s="2">
        <v>5</v>
      </c>
      <c r="G4" s="2">
        <v>10</v>
      </c>
      <c r="H4" s="2">
        <v>5</v>
      </c>
      <c r="I4" s="2">
        <v>100</v>
      </c>
      <c r="J4" s="2">
        <v>90</v>
      </c>
      <c r="K4" s="2">
        <v>60</v>
      </c>
      <c r="L4" s="6">
        <v>40</v>
      </c>
    </row>
    <row r="5" spans="1:12">
      <c r="A5" s="1" t="s">
        <v>11</v>
      </c>
      <c r="B5" s="5">
        <v>0.25</v>
      </c>
      <c r="C5" s="5">
        <v>0.02</v>
      </c>
      <c r="D5" s="5">
        <v>0</v>
      </c>
      <c r="E5" s="5">
        <v>0.03</v>
      </c>
      <c r="F5" s="5">
        <v>1</v>
      </c>
      <c r="G5" s="5">
        <v>1</v>
      </c>
      <c r="H5" s="5">
        <v>1</v>
      </c>
      <c r="I5" s="5">
        <v>0.75</v>
      </c>
      <c r="J5" s="5">
        <v>0.22222222222222221</v>
      </c>
      <c r="K5" s="5">
        <v>0.83333333333333348</v>
      </c>
      <c r="L5" s="5">
        <v>0.14000000000000001</v>
      </c>
    </row>
    <row r="6" spans="1:12">
      <c r="A6" s="1" t="s">
        <v>12</v>
      </c>
      <c r="B6" s="5">
        <v>0.25</v>
      </c>
      <c r="C6" s="2">
        <v>0.8</v>
      </c>
      <c r="D6" s="2">
        <v>0.45177664974619292</v>
      </c>
      <c r="E6" s="5">
        <v>0.3</v>
      </c>
      <c r="F6" s="2">
        <v>0</v>
      </c>
      <c r="G6" s="5">
        <v>0</v>
      </c>
      <c r="H6" s="5">
        <v>0</v>
      </c>
      <c r="I6" s="5">
        <v>0.25</v>
      </c>
      <c r="J6" s="5">
        <v>0.44444444444444442</v>
      </c>
      <c r="K6" s="5">
        <v>0.16666666666666663</v>
      </c>
      <c r="L6" s="5">
        <v>0.46</v>
      </c>
    </row>
    <row r="7" spans="1:12">
      <c r="A7" s="1" t="s">
        <v>14</v>
      </c>
      <c r="B7" s="5">
        <v>0.25</v>
      </c>
      <c r="C7" s="2">
        <v>0.18</v>
      </c>
      <c r="D7" s="2">
        <v>0.40101522842639592</v>
      </c>
      <c r="E7" s="5">
        <v>0.64</v>
      </c>
      <c r="F7" s="2">
        <v>0</v>
      </c>
      <c r="G7" s="5">
        <v>0</v>
      </c>
      <c r="H7" s="5">
        <v>0</v>
      </c>
      <c r="I7" s="5">
        <v>0</v>
      </c>
      <c r="J7" s="5">
        <v>0.27777777777777779</v>
      </c>
      <c r="K7" s="5">
        <v>0</v>
      </c>
      <c r="L7" s="5">
        <v>0.3</v>
      </c>
    </row>
    <row r="8" spans="1:12">
      <c r="A8" s="1" t="s">
        <v>13</v>
      </c>
      <c r="B8" s="5">
        <v>0.25</v>
      </c>
      <c r="C8" s="2">
        <v>0</v>
      </c>
      <c r="D8" s="2">
        <v>0.14720812182741116</v>
      </c>
      <c r="E8" s="5">
        <v>0.03</v>
      </c>
      <c r="F8" s="2">
        <v>0</v>
      </c>
      <c r="G8" s="5">
        <v>0</v>
      </c>
      <c r="H8" s="5">
        <v>0</v>
      </c>
      <c r="I8" s="5">
        <v>0</v>
      </c>
      <c r="J8" s="5">
        <v>5.5555555555555552E-2</v>
      </c>
      <c r="K8" s="5">
        <v>0</v>
      </c>
      <c r="L8" s="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B34B-0167-4951-AC1A-D05AA35E96B5}">
  <dimension ref="A1:K29"/>
  <sheetViews>
    <sheetView workbookViewId="0">
      <selection sqref="A1:XFD1048576"/>
    </sheetView>
  </sheetViews>
  <sheetFormatPr baseColWidth="10" defaultColWidth="9.109375" defaultRowHeight="13.2"/>
  <cols>
    <col min="1" max="1" width="15.33203125" style="1" bestFit="1" customWidth="1"/>
    <col min="2" max="5" width="12" style="1" bestFit="1" customWidth="1"/>
    <col min="6" max="6" width="12.109375" style="1" bestFit="1" customWidth="1"/>
    <col min="7" max="8" width="12.109375" style="1" customWidth="1"/>
    <col min="9" max="9" width="12.44140625" style="1" bestFit="1" customWidth="1"/>
    <col min="10" max="16384" width="9.109375" style="1"/>
  </cols>
  <sheetData>
    <row r="1" spans="1:1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16</v>
      </c>
      <c r="H1" s="1" t="s">
        <v>18</v>
      </c>
      <c r="I1" s="1" t="s">
        <v>8</v>
      </c>
    </row>
    <row r="2" spans="1:11">
      <c r="A2" s="1" t="s">
        <v>10</v>
      </c>
      <c r="B2" s="1">
        <v>180.52</v>
      </c>
      <c r="C2" s="1">
        <v>32.18</v>
      </c>
      <c r="D2" s="1">
        <v>13</v>
      </c>
      <c r="E2" s="1">
        <v>5.31</v>
      </c>
      <c r="F2" s="1">
        <v>5.5</v>
      </c>
      <c r="G2" s="1">
        <v>9.4</v>
      </c>
      <c r="H2" s="1">
        <v>1.3</v>
      </c>
      <c r="I2" s="1">
        <v>59.5</v>
      </c>
    </row>
    <row r="3" spans="1:11">
      <c r="A3" s="1" t="s">
        <v>9</v>
      </c>
      <c r="B3" s="1">
        <f t="shared" ref="B3:H3" si="0">(((10^(0.69686*LOG10(B2*1000)+0.27747))/1500)*365) * (B4/100)</f>
        <v>212.1943633444298</v>
      </c>
      <c r="C3" s="1">
        <f>(((10^(0.69686*LOG10(C2*1000)+0.27747))/1500)*365) * (C4/100)</f>
        <v>638.01077461099499</v>
      </c>
      <c r="D3" s="1">
        <f t="shared" si="0"/>
        <v>16.962277902661903</v>
      </c>
      <c r="E3" s="1">
        <f t="shared" si="0"/>
        <v>18.177785456895528</v>
      </c>
      <c r="F3" s="1">
        <f t="shared" si="0"/>
        <v>9.314311403891665</v>
      </c>
      <c r="G3" s="1">
        <f t="shared" si="0"/>
        <v>270.63594734604294</v>
      </c>
      <c r="H3" s="1">
        <f t="shared" si="0"/>
        <v>40.907733713668812</v>
      </c>
      <c r="I3" s="1">
        <f>((((70*((I2)^0.75)/1500)*1.5)   *365)*(I4/100))</f>
        <v>218.94680903321847</v>
      </c>
    </row>
    <row r="4" spans="1:11">
      <c r="A4" s="1" t="s">
        <v>15</v>
      </c>
      <c r="B4" s="2">
        <v>10</v>
      </c>
      <c r="C4" s="2">
        <v>100</v>
      </c>
      <c r="D4" s="2">
        <v>5</v>
      </c>
      <c r="E4" s="2">
        <v>10</v>
      </c>
      <c r="F4" s="2">
        <v>5</v>
      </c>
      <c r="G4" s="2">
        <v>100</v>
      </c>
      <c r="H4" s="2">
        <v>60</v>
      </c>
      <c r="I4" s="6">
        <v>40</v>
      </c>
    </row>
    <row r="5" spans="1:11">
      <c r="A5" s="1" t="s">
        <v>11</v>
      </c>
      <c r="B5" s="5">
        <v>0.25</v>
      </c>
      <c r="C5" s="5">
        <v>0.03</v>
      </c>
      <c r="D5" s="5">
        <v>1</v>
      </c>
      <c r="E5" s="5">
        <v>1</v>
      </c>
      <c r="F5" s="5">
        <v>1</v>
      </c>
      <c r="G5" s="5">
        <v>0.75</v>
      </c>
      <c r="H5" s="5">
        <v>0.83333333333333348</v>
      </c>
      <c r="I5" s="5">
        <v>0.14000000000000001</v>
      </c>
    </row>
    <row r="6" spans="1:11">
      <c r="A6" s="1" t="s">
        <v>12</v>
      </c>
      <c r="B6" s="5">
        <v>0.25</v>
      </c>
      <c r="C6" s="5">
        <v>0.3</v>
      </c>
      <c r="D6" s="2">
        <v>0</v>
      </c>
      <c r="E6" s="5">
        <v>0</v>
      </c>
      <c r="F6" s="5">
        <v>0</v>
      </c>
      <c r="G6" s="5">
        <v>0.25</v>
      </c>
      <c r="H6" s="5">
        <v>0.16666666666666663</v>
      </c>
      <c r="I6" s="5">
        <v>0.46</v>
      </c>
    </row>
    <row r="7" spans="1:11">
      <c r="A7" s="1" t="s">
        <v>14</v>
      </c>
      <c r="B7" s="5">
        <v>0.25</v>
      </c>
      <c r="C7" s="5">
        <v>0.64</v>
      </c>
      <c r="D7" s="2">
        <v>0</v>
      </c>
      <c r="E7" s="5">
        <v>0</v>
      </c>
      <c r="F7" s="5">
        <v>0</v>
      </c>
      <c r="G7" s="5">
        <v>0</v>
      </c>
      <c r="H7" s="5">
        <v>0</v>
      </c>
      <c r="I7" s="5">
        <v>0.3</v>
      </c>
    </row>
    <row r="8" spans="1:11">
      <c r="A8" s="1" t="s">
        <v>13</v>
      </c>
      <c r="B8" s="5">
        <v>0.25</v>
      </c>
      <c r="C8" s="5">
        <v>0.03</v>
      </c>
      <c r="D8" s="2">
        <v>0</v>
      </c>
      <c r="E8" s="5">
        <v>0</v>
      </c>
      <c r="F8" s="5">
        <v>0</v>
      </c>
      <c r="G8" s="5">
        <v>0</v>
      </c>
      <c r="H8" s="5">
        <v>0</v>
      </c>
      <c r="I8" s="5">
        <v>0.1</v>
      </c>
    </row>
    <row r="9" spans="1:11" ht="15" customHeight="1">
      <c r="J9" s="3"/>
      <c r="K9" s="3"/>
    </row>
    <row r="10" spans="1:11">
      <c r="J10" s="3"/>
      <c r="K10" s="4"/>
    </row>
    <row r="11" spans="1:11">
      <c r="J11" s="3"/>
      <c r="K11" s="4"/>
    </row>
    <row r="12" spans="1:11">
      <c r="J12" s="3"/>
      <c r="K12" s="4"/>
    </row>
    <row r="13" spans="1:11">
      <c r="J13" s="3"/>
      <c r="K13" s="4"/>
    </row>
    <row r="14" spans="1:11">
      <c r="J14" s="3"/>
      <c r="K14" s="3"/>
    </row>
    <row r="29" spans="3:3">
      <c r="C29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1F66-0EDA-4BE9-88E6-405554B9871D}">
  <dimension ref="A1:L8"/>
  <sheetViews>
    <sheetView workbookViewId="0">
      <selection sqref="A1:XFD1048576"/>
    </sheetView>
  </sheetViews>
  <sheetFormatPr baseColWidth="10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8</v>
      </c>
    </row>
    <row r="2" spans="1:12">
      <c r="A2" s="1" t="s">
        <v>10</v>
      </c>
      <c r="B2" s="1">
        <v>180.52</v>
      </c>
      <c r="C2" s="1">
        <v>54.99</v>
      </c>
      <c r="D2" s="1">
        <v>62.99</v>
      </c>
      <c r="E2" s="1">
        <v>32.18</v>
      </c>
      <c r="F2" s="1">
        <v>13</v>
      </c>
      <c r="G2" s="1">
        <v>5.31</v>
      </c>
      <c r="H2" s="1">
        <v>5.5</v>
      </c>
      <c r="I2" s="1">
        <v>9.4</v>
      </c>
      <c r="J2" s="1">
        <v>12.76</v>
      </c>
      <c r="K2" s="1">
        <v>1.3</v>
      </c>
      <c r="L2" s="1">
        <v>59.5</v>
      </c>
    </row>
    <row r="3" spans="1:12">
      <c r="A3" s="1" t="s">
        <v>9</v>
      </c>
      <c r="B3" s="1">
        <f t="shared" ref="B3:K3" si="0">(((10^(0.69686*LOG10(B2*1000)+0.27747))/1500)*365) * (B4/100)</f>
        <v>212.1943633444298</v>
      </c>
      <c r="C3" s="1">
        <f t="shared" si="0"/>
        <v>926.79934523613747</v>
      </c>
      <c r="D3" s="1">
        <f t="shared" si="0"/>
        <v>1003.5251217983529</v>
      </c>
      <c r="E3" s="1">
        <f>(((10^(0.69686*LOG10(E2*1000)+0.27747))/1500)*365) * (E4/100)</f>
        <v>638.01077461099499</v>
      </c>
      <c r="F3" s="1">
        <f t="shared" si="0"/>
        <v>16.962277902661903</v>
      </c>
      <c r="G3" s="1">
        <f t="shared" si="0"/>
        <v>18.177785456895528</v>
      </c>
      <c r="H3" s="1">
        <f t="shared" si="0"/>
        <v>9.314311403891665</v>
      </c>
      <c r="I3" s="1">
        <f t="shared" si="0"/>
        <v>270.63594734604294</v>
      </c>
      <c r="J3" s="1">
        <f t="shared" si="0"/>
        <v>301.38193422624812</v>
      </c>
      <c r="K3" s="1">
        <f t="shared" si="0"/>
        <v>40.907733713668812</v>
      </c>
      <c r="L3" s="1">
        <f>((((70*((L2)^0.75)/1500)*1.5)   *365)*(L4/100))</f>
        <v>273.68351129152308</v>
      </c>
    </row>
    <row r="4" spans="1:12">
      <c r="A4" s="1" t="s">
        <v>15</v>
      </c>
      <c r="B4" s="2">
        <v>10</v>
      </c>
      <c r="C4" s="2">
        <v>100</v>
      </c>
      <c r="D4" s="2">
        <v>98.5</v>
      </c>
      <c r="E4" s="2">
        <v>100</v>
      </c>
      <c r="F4" s="2">
        <v>5</v>
      </c>
      <c r="G4" s="2">
        <v>10</v>
      </c>
      <c r="H4" s="2">
        <v>5</v>
      </c>
      <c r="I4" s="2">
        <v>100</v>
      </c>
      <c r="J4" s="2">
        <v>90</v>
      </c>
      <c r="K4" s="2">
        <v>60</v>
      </c>
      <c r="L4" s="6">
        <v>50</v>
      </c>
    </row>
    <row r="5" spans="1:12">
      <c r="A5" s="1" t="s">
        <v>11</v>
      </c>
      <c r="B5" s="5">
        <v>0.25</v>
      </c>
      <c r="C5" s="5">
        <v>0.02</v>
      </c>
      <c r="D5" s="5">
        <v>0</v>
      </c>
      <c r="E5" s="5">
        <v>0.03</v>
      </c>
      <c r="F5" s="5">
        <v>1</v>
      </c>
      <c r="G5" s="5">
        <v>1</v>
      </c>
      <c r="H5" s="5">
        <v>1</v>
      </c>
      <c r="I5" s="5">
        <v>0.75</v>
      </c>
      <c r="J5" s="5">
        <v>0.22222222222222221</v>
      </c>
      <c r="K5" s="5">
        <v>0.83333333333333348</v>
      </c>
      <c r="L5" s="5">
        <v>0.14000000000000001</v>
      </c>
    </row>
    <row r="6" spans="1:12">
      <c r="A6" s="1" t="s">
        <v>12</v>
      </c>
      <c r="B6" s="5">
        <v>0.25</v>
      </c>
      <c r="C6" s="2">
        <v>0.8</v>
      </c>
      <c r="D6" s="2">
        <v>0.45177664974619292</v>
      </c>
      <c r="E6" s="5">
        <v>0.3</v>
      </c>
      <c r="F6" s="2">
        <v>0</v>
      </c>
      <c r="G6" s="5">
        <v>0</v>
      </c>
      <c r="H6" s="5">
        <v>0</v>
      </c>
      <c r="I6" s="5">
        <v>0.25</v>
      </c>
      <c r="J6" s="5">
        <v>0.44444444444444442</v>
      </c>
      <c r="K6" s="5">
        <v>0.16666666666666663</v>
      </c>
      <c r="L6" s="5">
        <v>0.46</v>
      </c>
    </row>
    <row r="7" spans="1:12">
      <c r="A7" s="1" t="s">
        <v>14</v>
      </c>
      <c r="B7" s="5">
        <v>0.25</v>
      </c>
      <c r="C7" s="2">
        <v>0.18</v>
      </c>
      <c r="D7" s="2">
        <v>0.40101522842639592</v>
      </c>
      <c r="E7" s="5">
        <v>0.64</v>
      </c>
      <c r="F7" s="2">
        <v>0</v>
      </c>
      <c r="G7" s="5">
        <v>0</v>
      </c>
      <c r="H7" s="5">
        <v>0</v>
      </c>
      <c r="I7" s="5">
        <v>0</v>
      </c>
      <c r="J7" s="5">
        <v>0.27777777777777779</v>
      </c>
      <c r="K7" s="5">
        <v>0</v>
      </c>
      <c r="L7" s="5">
        <v>0.3</v>
      </c>
    </row>
    <row r="8" spans="1:12">
      <c r="A8" s="1" t="s">
        <v>13</v>
      </c>
      <c r="B8" s="5">
        <v>0.25</v>
      </c>
      <c r="C8" s="2">
        <v>0</v>
      </c>
      <c r="D8" s="2">
        <v>0.14720812182741116</v>
      </c>
      <c r="E8" s="5">
        <v>0.03</v>
      </c>
      <c r="F8" s="2">
        <v>0</v>
      </c>
      <c r="G8" s="5">
        <v>0</v>
      </c>
      <c r="H8" s="5">
        <v>0</v>
      </c>
      <c r="I8" s="5">
        <v>0</v>
      </c>
      <c r="J8" s="5">
        <v>5.5555555555555552E-2</v>
      </c>
      <c r="K8" s="5">
        <v>0</v>
      </c>
      <c r="L8" s="5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442-8029-4B33-A5CD-A865972847FD}">
  <dimension ref="A1:K29"/>
  <sheetViews>
    <sheetView workbookViewId="0">
      <selection sqref="A1:XFD1048576"/>
    </sheetView>
  </sheetViews>
  <sheetFormatPr baseColWidth="10" defaultColWidth="9.109375" defaultRowHeight="13.2"/>
  <cols>
    <col min="1" max="1" width="15.33203125" style="1" bestFit="1" customWidth="1"/>
    <col min="2" max="5" width="12" style="1" bestFit="1" customWidth="1"/>
    <col min="6" max="6" width="12.109375" style="1" bestFit="1" customWidth="1"/>
    <col min="7" max="8" width="12.109375" style="1" customWidth="1"/>
    <col min="9" max="9" width="12.44140625" style="1" bestFit="1" customWidth="1"/>
    <col min="10" max="16384" width="9.109375" style="1"/>
  </cols>
  <sheetData>
    <row r="1" spans="1:1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16</v>
      </c>
      <c r="H1" s="1" t="s">
        <v>18</v>
      </c>
      <c r="I1" s="1" t="s">
        <v>8</v>
      </c>
    </row>
    <row r="2" spans="1:11">
      <c r="A2" s="1" t="s">
        <v>10</v>
      </c>
      <c r="B2" s="1">
        <v>180.52</v>
      </c>
      <c r="C2" s="1">
        <v>32.18</v>
      </c>
      <c r="D2" s="1">
        <v>13</v>
      </c>
      <c r="E2" s="1">
        <v>5.31</v>
      </c>
      <c r="F2" s="1">
        <v>5.5</v>
      </c>
      <c r="G2" s="1">
        <v>9.4</v>
      </c>
      <c r="H2" s="1">
        <v>1.3</v>
      </c>
      <c r="I2" s="1">
        <v>59.5</v>
      </c>
    </row>
    <row r="3" spans="1:11">
      <c r="A3" s="1" t="s">
        <v>9</v>
      </c>
      <c r="B3" s="1">
        <f t="shared" ref="B3:H3" si="0">(((10^(0.69686*LOG10(B2*1000)+0.27747))/1500)*365) * (B4/100)</f>
        <v>212.1943633444298</v>
      </c>
      <c r="C3" s="1">
        <f>(((10^(0.69686*LOG10(C2*1000)+0.27747))/1500)*365) * (C4/100)</f>
        <v>638.01077461099499</v>
      </c>
      <c r="D3" s="1">
        <f t="shared" si="0"/>
        <v>16.962277902661903</v>
      </c>
      <c r="E3" s="1">
        <f t="shared" si="0"/>
        <v>18.177785456895528</v>
      </c>
      <c r="F3" s="1">
        <f t="shared" si="0"/>
        <v>9.314311403891665</v>
      </c>
      <c r="G3" s="1">
        <f t="shared" si="0"/>
        <v>270.63594734604294</v>
      </c>
      <c r="H3" s="1">
        <f t="shared" si="0"/>
        <v>40.907733713668812</v>
      </c>
      <c r="I3" s="1">
        <f>((((70*((I2)^0.75)/1500)*1.5)   *365)*(I4/100))</f>
        <v>273.68351129152308</v>
      </c>
    </row>
    <row r="4" spans="1:11">
      <c r="A4" s="1" t="s">
        <v>15</v>
      </c>
      <c r="B4" s="2">
        <v>10</v>
      </c>
      <c r="C4" s="2">
        <v>100</v>
      </c>
      <c r="D4" s="2">
        <v>5</v>
      </c>
      <c r="E4" s="2">
        <v>10</v>
      </c>
      <c r="F4" s="2">
        <v>5</v>
      </c>
      <c r="G4" s="2">
        <v>100</v>
      </c>
      <c r="H4" s="2">
        <v>60</v>
      </c>
      <c r="I4" s="6">
        <v>50</v>
      </c>
    </row>
    <row r="5" spans="1:11">
      <c r="A5" s="1" t="s">
        <v>11</v>
      </c>
      <c r="B5" s="5">
        <v>0.25</v>
      </c>
      <c r="C5" s="5">
        <v>0.03</v>
      </c>
      <c r="D5" s="5">
        <v>1</v>
      </c>
      <c r="E5" s="5">
        <v>1</v>
      </c>
      <c r="F5" s="5">
        <v>1</v>
      </c>
      <c r="G5" s="5">
        <v>0.75</v>
      </c>
      <c r="H5" s="5">
        <v>0.83333333333333348</v>
      </c>
      <c r="I5" s="5">
        <v>0.14000000000000001</v>
      </c>
    </row>
    <row r="6" spans="1:11">
      <c r="A6" s="1" t="s">
        <v>12</v>
      </c>
      <c r="B6" s="5">
        <v>0.25</v>
      </c>
      <c r="C6" s="5">
        <v>0.3</v>
      </c>
      <c r="D6" s="2">
        <v>0</v>
      </c>
      <c r="E6" s="5">
        <v>0</v>
      </c>
      <c r="F6" s="5">
        <v>0</v>
      </c>
      <c r="G6" s="5">
        <v>0.25</v>
      </c>
      <c r="H6" s="5">
        <v>0.16666666666666663</v>
      </c>
      <c r="I6" s="5">
        <v>0.46</v>
      </c>
    </row>
    <row r="7" spans="1:11">
      <c r="A7" s="1" t="s">
        <v>14</v>
      </c>
      <c r="B7" s="5">
        <v>0.25</v>
      </c>
      <c r="C7" s="5">
        <v>0.64</v>
      </c>
      <c r="D7" s="2">
        <v>0</v>
      </c>
      <c r="E7" s="5">
        <v>0</v>
      </c>
      <c r="F7" s="5">
        <v>0</v>
      </c>
      <c r="G7" s="5">
        <v>0</v>
      </c>
      <c r="H7" s="5">
        <v>0</v>
      </c>
      <c r="I7" s="5">
        <v>0.3</v>
      </c>
    </row>
    <row r="8" spans="1:11">
      <c r="A8" s="1" t="s">
        <v>13</v>
      </c>
      <c r="B8" s="5">
        <v>0.25</v>
      </c>
      <c r="C8" s="5">
        <v>0.03</v>
      </c>
      <c r="D8" s="2">
        <v>0</v>
      </c>
      <c r="E8" s="5">
        <v>0</v>
      </c>
      <c r="F8" s="5">
        <v>0</v>
      </c>
      <c r="G8" s="5">
        <v>0</v>
      </c>
      <c r="H8" s="5">
        <v>0</v>
      </c>
      <c r="I8" s="5">
        <v>0.1</v>
      </c>
    </row>
    <row r="9" spans="1:11" ht="15" customHeight="1">
      <c r="J9" s="3"/>
      <c r="K9" s="3"/>
    </row>
    <row r="10" spans="1:11">
      <c r="J10" s="3"/>
      <c r="K10" s="4"/>
    </row>
    <row r="11" spans="1:11">
      <c r="J11" s="3"/>
      <c r="K11" s="4"/>
    </row>
    <row r="12" spans="1:11">
      <c r="J12" s="3"/>
      <c r="K12" s="4"/>
    </row>
    <row r="13" spans="1:11">
      <c r="J13" s="3"/>
      <c r="K13" s="4"/>
    </row>
    <row r="14" spans="1:11">
      <c r="J14" s="3"/>
      <c r="K14" s="3"/>
    </row>
    <row r="29" spans="3:3">
      <c r="C29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0C74-9014-4D62-8602-1711DFBBDB5F}">
  <dimension ref="A1:L8"/>
  <sheetViews>
    <sheetView workbookViewId="0">
      <selection sqref="A1:XFD1048576"/>
    </sheetView>
  </sheetViews>
  <sheetFormatPr baseColWidth="10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8</v>
      </c>
    </row>
    <row r="2" spans="1:12">
      <c r="A2" s="1" t="s">
        <v>10</v>
      </c>
      <c r="B2" s="1">
        <v>180.52</v>
      </c>
      <c r="C2" s="1">
        <v>54.99</v>
      </c>
      <c r="D2" s="1">
        <v>62.99</v>
      </c>
      <c r="E2" s="1">
        <v>32.18</v>
      </c>
      <c r="F2" s="1">
        <v>13</v>
      </c>
      <c r="G2" s="1">
        <v>5.31</v>
      </c>
      <c r="H2" s="1">
        <v>5.5</v>
      </c>
      <c r="I2" s="1">
        <v>9.4</v>
      </c>
      <c r="J2" s="1">
        <v>12.76</v>
      </c>
      <c r="K2" s="1">
        <v>1.3</v>
      </c>
      <c r="L2" s="1">
        <v>59.5</v>
      </c>
    </row>
    <row r="3" spans="1:12">
      <c r="A3" s="1" t="s">
        <v>9</v>
      </c>
      <c r="B3" s="1">
        <f t="shared" ref="B3:K3" si="0">(((10^(0.69686*LOG10(B2*1000)+0.27747))/1500)*365) * (B4/100)</f>
        <v>212.1943633444298</v>
      </c>
      <c r="C3" s="1">
        <f t="shared" si="0"/>
        <v>926.79934523613747</v>
      </c>
      <c r="D3" s="1">
        <f t="shared" si="0"/>
        <v>1003.5251217983529</v>
      </c>
      <c r="E3" s="1">
        <f>(((10^(0.69686*LOG10(E2*1000)+0.27747))/1500)*365) * (E4/100)</f>
        <v>638.01077461099499</v>
      </c>
      <c r="F3" s="1">
        <f t="shared" si="0"/>
        <v>16.962277902661903</v>
      </c>
      <c r="G3" s="1">
        <f t="shared" si="0"/>
        <v>18.177785456895528</v>
      </c>
      <c r="H3" s="1">
        <f t="shared" si="0"/>
        <v>9.314311403891665</v>
      </c>
      <c r="I3" s="1">
        <f t="shared" si="0"/>
        <v>270.63594734604294</v>
      </c>
      <c r="J3" s="1">
        <f t="shared" si="0"/>
        <v>301.38193422624812</v>
      </c>
      <c r="K3" s="1">
        <f t="shared" si="0"/>
        <v>40.907733713668812</v>
      </c>
      <c r="L3" s="1">
        <f>((((70*((L2)^0.75)/1500)*1.5)   *365)*(L4/100))</f>
        <v>328.42021354982768</v>
      </c>
    </row>
    <row r="4" spans="1:12">
      <c r="A4" s="1" t="s">
        <v>15</v>
      </c>
      <c r="B4" s="2">
        <v>10</v>
      </c>
      <c r="C4" s="2">
        <v>100</v>
      </c>
      <c r="D4" s="2">
        <v>98.5</v>
      </c>
      <c r="E4" s="2">
        <v>100</v>
      </c>
      <c r="F4" s="2">
        <v>5</v>
      </c>
      <c r="G4" s="2">
        <v>10</v>
      </c>
      <c r="H4" s="2">
        <v>5</v>
      </c>
      <c r="I4" s="2">
        <v>100</v>
      </c>
      <c r="J4" s="2">
        <v>90</v>
      </c>
      <c r="K4" s="2">
        <v>60</v>
      </c>
      <c r="L4" s="6">
        <v>60</v>
      </c>
    </row>
    <row r="5" spans="1:12">
      <c r="A5" s="1" t="s">
        <v>11</v>
      </c>
      <c r="B5" s="5">
        <v>0.25</v>
      </c>
      <c r="C5" s="5">
        <v>0.02</v>
      </c>
      <c r="D5" s="5">
        <v>0</v>
      </c>
      <c r="E5" s="5">
        <v>0.03</v>
      </c>
      <c r="F5" s="5">
        <v>1</v>
      </c>
      <c r="G5" s="5">
        <v>1</v>
      </c>
      <c r="H5" s="5">
        <v>1</v>
      </c>
      <c r="I5" s="5">
        <v>0.75</v>
      </c>
      <c r="J5" s="5">
        <v>0.22222222222222221</v>
      </c>
      <c r="K5" s="5">
        <v>0.83333333333333348</v>
      </c>
      <c r="L5" s="5">
        <v>0.14000000000000001</v>
      </c>
    </row>
    <row r="6" spans="1:12">
      <c r="A6" s="1" t="s">
        <v>12</v>
      </c>
      <c r="B6" s="5">
        <v>0.25</v>
      </c>
      <c r="C6" s="2">
        <v>0.8</v>
      </c>
      <c r="D6" s="2">
        <v>0.45177664974619292</v>
      </c>
      <c r="E6" s="5">
        <v>0.3</v>
      </c>
      <c r="F6" s="2">
        <v>0</v>
      </c>
      <c r="G6" s="5">
        <v>0</v>
      </c>
      <c r="H6" s="5">
        <v>0</v>
      </c>
      <c r="I6" s="5">
        <v>0.25</v>
      </c>
      <c r="J6" s="5">
        <v>0.44444444444444442</v>
      </c>
      <c r="K6" s="5">
        <v>0.16666666666666663</v>
      </c>
      <c r="L6" s="5">
        <v>0.46</v>
      </c>
    </row>
    <row r="7" spans="1:12">
      <c r="A7" s="1" t="s">
        <v>14</v>
      </c>
      <c r="B7" s="5">
        <v>0.25</v>
      </c>
      <c r="C7" s="2">
        <v>0.18</v>
      </c>
      <c r="D7" s="2">
        <v>0.40101522842639592</v>
      </c>
      <c r="E7" s="5">
        <v>0.64</v>
      </c>
      <c r="F7" s="2">
        <v>0</v>
      </c>
      <c r="G7" s="5">
        <v>0</v>
      </c>
      <c r="H7" s="5">
        <v>0</v>
      </c>
      <c r="I7" s="5">
        <v>0</v>
      </c>
      <c r="J7" s="5">
        <v>0.27777777777777779</v>
      </c>
      <c r="K7" s="5">
        <v>0</v>
      </c>
      <c r="L7" s="5">
        <v>0.3</v>
      </c>
    </row>
    <row r="8" spans="1:12">
      <c r="A8" s="1" t="s">
        <v>13</v>
      </c>
      <c r="B8" s="5">
        <v>0.25</v>
      </c>
      <c r="C8" s="2">
        <v>0</v>
      </c>
      <c r="D8" s="2">
        <v>0.14720812182741116</v>
      </c>
      <c r="E8" s="5">
        <v>0.03</v>
      </c>
      <c r="F8" s="2">
        <v>0</v>
      </c>
      <c r="G8" s="5">
        <v>0</v>
      </c>
      <c r="H8" s="5">
        <v>0</v>
      </c>
      <c r="I8" s="5">
        <v>0</v>
      </c>
      <c r="J8" s="5">
        <v>5.5555555555555552E-2</v>
      </c>
      <c r="K8" s="5">
        <v>0</v>
      </c>
      <c r="L8" s="5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7941-B18C-48DD-8495-93DD92076C78}">
  <dimension ref="A1:K29"/>
  <sheetViews>
    <sheetView workbookViewId="0">
      <selection sqref="A1:XFD1048576"/>
    </sheetView>
  </sheetViews>
  <sheetFormatPr baseColWidth="10" defaultColWidth="9.109375" defaultRowHeight="13.2"/>
  <cols>
    <col min="1" max="1" width="15.33203125" style="1" bestFit="1" customWidth="1"/>
    <col min="2" max="5" width="12" style="1" bestFit="1" customWidth="1"/>
    <col min="6" max="6" width="12.109375" style="1" bestFit="1" customWidth="1"/>
    <col min="7" max="8" width="12.109375" style="1" customWidth="1"/>
    <col min="9" max="9" width="12.44140625" style="1" bestFit="1" customWidth="1"/>
    <col min="10" max="16384" width="9.109375" style="1"/>
  </cols>
  <sheetData>
    <row r="1" spans="1:1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16</v>
      </c>
      <c r="H1" s="1" t="s">
        <v>18</v>
      </c>
      <c r="I1" s="1" t="s">
        <v>8</v>
      </c>
    </row>
    <row r="2" spans="1:11">
      <c r="A2" s="1" t="s">
        <v>10</v>
      </c>
      <c r="B2" s="1">
        <v>180.52</v>
      </c>
      <c r="C2" s="1">
        <v>32.18</v>
      </c>
      <c r="D2" s="1">
        <v>13</v>
      </c>
      <c r="E2" s="1">
        <v>5.31</v>
      </c>
      <c r="F2" s="1">
        <v>5.5</v>
      </c>
      <c r="G2" s="1">
        <v>9.4</v>
      </c>
      <c r="H2" s="1">
        <v>1.3</v>
      </c>
      <c r="I2" s="1">
        <v>59.5</v>
      </c>
    </row>
    <row r="3" spans="1:11">
      <c r="A3" s="1" t="s">
        <v>9</v>
      </c>
      <c r="B3" s="1">
        <f t="shared" ref="B3:H3" si="0">(((10^(0.69686*LOG10(B2*1000)+0.27747))/1500)*365) * (B4/100)</f>
        <v>212.1943633444298</v>
      </c>
      <c r="C3" s="1">
        <f>(((10^(0.69686*LOG10(C2*1000)+0.27747))/1500)*365) * (C4/100)</f>
        <v>638.01077461099499</v>
      </c>
      <c r="D3" s="1">
        <f t="shared" si="0"/>
        <v>16.962277902661903</v>
      </c>
      <c r="E3" s="1">
        <f t="shared" si="0"/>
        <v>18.177785456895528</v>
      </c>
      <c r="F3" s="1">
        <f t="shared" si="0"/>
        <v>9.314311403891665</v>
      </c>
      <c r="G3" s="1">
        <f t="shared" si="0"/>
        <v>270.63594734604294</v>
      </c>
      <c r="H3" s="1">
        <f t="shared" si="0"/>
        <v>40.907733713668812</v>
      </c>
      <c r="I3" s="1">
        <f>((((70*((I2)^0.75)/1500)*1.5)   *365)*(I4/100))</f>
        <v>328.42021354982768</v>
      </c>
    </row>
    <row r="4" spans="1:11">
      <c r="A4" s="1" t="s">
        <v>15</v>
      </c>
      <c r="B4" s="2">
        <v>10</v>
      </c>
      <c r="C4" s="2">
        <v>100</v>
      </c>
      <c r="D4" s="2">
        <v>5</v>
      </c>
      <c r="E4" s="2">
        <v>10</v>
      </c>
      <c r="F4" s="2">
        <v>5</v>
      </c>
      <c r="G4" s="2">
        <v>100</v>
      </c>
      <c r="H4" s="2">
        <v>60</v>
      </c>
      <c r="I4" s="6">
        <v>60</v>
      </c>
    </row>
    <row r="5" spans="1:11">
      <c r="A5" s="1" t="s">
        <v>11</v>
      </c>
      <c r="B5" s="5">
        <v>0.25</v>
      </c>
      <c r="C5" s="5">
        <v>0.03</v>
      </c>
      <c r="D5" s="5">
        <v>1</v>
      </c>
      <c r="E5" s="5">
        <v>1</v>
      </c>
      <c r="F5" s="5">
        <v>1</v>
      </c>
      <c r="G5" s="5">
        <v>0.75</v>
      </c>
      <c r="H5" s="5">
        <v>0.83333333333333348</v>
      </c>
      <c r="I5" s="5">
        <v>0.14000000000000001</v>
      </c>
    </row>
    <row r="6" spans="1:11">
      <c r="A6" s="1" t="s">
        <v>12</v>
      </c>
      <c r="B6" s="5">
        <v>0.25</v>
      </c>
      <c r="C6" s="5">
        <v>0.3</v>
      </c>
      <c r="D6" s="2">
        <v>0</v>
      </c>
      <c r="E6" s="5">
        <v>0</v>
      </c>
      <c r="F6" s="5">
        <v>0</v>
      </c>
      <c r="G6" s="5">
        <v>0.25</v>
      </c>
      <c r="H6" s="5">
        <v>0.16666666666666663</v>
      </c>
      <c r="I6" s="5">
        <v>0.46</v>
      </c>
    </row>
    <row r="7" spans="1:11">
      <c r="A7" s="1" t="s">
        <v>14</v>
      </c>
      <c r="B7" s="5">
        <v>0.25</v>
      </c>
      <c r="C7" s="5">
        <v>0.64</v>
      </c>
      <c r="D7" s="2">
        <v>0</v>
      </c>
      <c r="E7" s="5">
        <v>0</v>
      </c>
      <c r="F7" s="5">
        <v>0</v>
      </c>
      <c r="G7" s="5">
        <v>0</v>
      </c>
      <c r="H7" s="5">
        <v>0</v>
      </c>
      <c r="I7" s="5">
        <v>0.3</v>
      </c>
    </row>
    <row r="8" spans="1:11">
      <c r="A8" s="1" t="s">
        <v>13</v>
      </c>
      <c r="B8" s="5">
        <v>0.25</v>
      </c>
      <c r="C8" s="5">
        <v>0.03</v>
      </c>
      <c r="D8" s="2">
        <v>0</v>
      </c>
      <c r="E8" s="5">
        <v>0</v>
      </c>
      <c r="F8" s="5">
        <v>0</v>
      </c>
      <c r="G8" s="5">
        <v>0</v>
      </c>
      <c r="H8" s="5">
        <v>0</v>
      </c>
      <c r="I8" s="5">
        <v>0.1</v>
      </c>
    </row>
    <row r="9" spans="1:11" ht="15" customHeight="1">
      <c r="J9" s="3"/>
      <c r="K9" s="3"/>
    </row>
    <row r="10" spans="1:11">
      <c r="J10" s="3"/>
      <c r="K10" s="4"/>
    </row>
    <row r="11" spans="1:11">
      <c r="J11" s="3"/>
      <c r="K11" s="4"/>
    </row>
    <row r="12" spans="1:11">
      <c r="J12" s="3"/>
      <c r="K12" s="4"/>
    </row>
    <row r="13" spans="1:11">
      <c r="J13" s="3"/>
      <c r="K13" s="4"/>
    </row>
    <row r="14" spans="1:11">
      <c r="J14" s="3"/>
      <c r="K14" s="3"/>
    </row>
    <row r="29" spans="3:3">
      <c r="C29" s="1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4E33-96B5-47FE-BFF4-8B0BE1881BE5}">
  <dimension ref="A1:L5"/>
  <sheetViews>
    <sheetView workbookViewId="0">
      <selection activeCell="B2" sqref="B2"/>
    </sheetView>
  </sheetViews>
  <sheetFormatPr baseColWidth="10" defaultRowHeight="14.4"/>
  <sheetData>
    <row r="1" spans="1:12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8</v>
      </c>
    </row>
    <row r="2" spans="1:12">
      <c r="A2" s="1" t="s">
        <v>11</v>
      </c>
      <c r="B2" s="1">
        <v>53.048590836107451</v>
      </c>
      <c r="C2" s="1">
        <v>18.535986904722751</v>
      </c>
      <c r="D2" s="1">
        <v>0</v>
      </c>
      <c r="E2" s="1">
        <v>19.140323238329849</v>
      </c>
      <c r="F2" s="1">
        <v>16.962277902661903</v>
      </c>
      <c r="G2" s="1">
        <v>18.177785456895528</v>
      </c>
      <c r="H2" s="1">
        <v>9.314311403891665</v>
      </c>
      <c r="I2" s="1">
        <v>202.9769605095322</v>
      </c>
      <c r="J2" s="1">
        <v>66.973763161388462</v>
      </c>
      <c r="K2" s="1">
        <v>34.089778094724018</v>
      </c>
      <c r="L2" s="1">
        <v>38.315691580813237</v>
      </c>
    </row>
    <row r="3" spans="1:12">
      <c r="A3" s="1" t="s">
        <v>12</v>
      </c>
      <c r="B3" s="1">
        <v>53.048590836107451</v>
      </c>
      <c r="C3" s="1">
        <v>741.43947618891002</v>
      </c>
      <c r="D3" s="1">
        <v>453.36921746220003</v>
      </c>
      <c r="E3" s="1">
        <v>191.4032323832985</v>
      </c>
      <c r="F3" s="1">
        <v>0</v>
      </c>
      <c r="G3" s="1">
        <v>0</v>
      </c>
      <c r="H3" s="1">
        <v>0</v>
      </c>
      <c r="I3" s="1">
        <v>67.658986836510735</v>
      </c>
      <c r="J3" s="1">
        <v>133.94752632277692</v>
      </c>
      <c r="K3" s="1">
        <v>6.8179556189448007</v>
      </c>
      <c r="L3" s="1">
        <v>125.89441519410062</v>
      </c>
    </row>
    <row r="4" spans="1:12">
      <c r="A4" s="1" t="s">
        <v>14</v>
      </c>
      <c r="B4" s="1">
        <v>53.048590836107451</v>
      </c>
      <c r="C4" s="1">
        <v>166.82388214250474</v>
      </c>
      <c r="D4" s="1">
        <v>402.42885594959324</v>
      </c>
      <c r="E4" s="1">
        <v>408.32689575103677</v>
      </c>
      <c r="F4" s="1">
        <v>0</v>
      </c>
      <c r="G4" s="1">
        <v>0</v>
      </c>
      <c r="H4" s="1">
        <v>0</v>
      </c>
      <c r="I4" s="1">
        <v>0</v>
      </c>
      <c r="J4" s="1">
        <v>83.717203951735598</v>
      </c>
      <c r="K4" s="1">
        <v>0</v>
      </c>
      <c r="L4" s="1">
        <v>82.10505338745692</v>
      </c>
    </row>
    <row r="5" spans="1:12">
      <c r="A5" s="1" t="s">
        <v>13</v>
      </c>
      <c r="B5" s="1">
        <v>53.048590836107451</v>
      </c>
      <c r="C5" s="1">
        <v>0</v>
      </c>
      <c r="D5" s="1">
        <v>147.72704838655955</v>
      </c>
      <c r="E5" s="1">
        <v>19.140323238329849</v>
      </c>
      <c r="F5" s="1">
        <v>0</v>
      </c>
      <c r="G5" s="1">
        <v>0</v>
      </c>
      <c r="H5" s="1">
        <v>0</v>
      </c>
      <c r="I5" s="1">
        <v>0</v>
      </c>
      <c r="J5" s="1">
        <v>16.743440790347115</v>
      </c>
      <c r="K5" s="1">
        <v>0</v>
      </c>
      <c r="L5" s="1">
        <v>27.368351129152309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Diet_30_Pleistocene</vt:lpstr>
      <vt:lpstr>Diet_30_Holocene</vt:lpstr>
      <vt:lpstr>Diet_40_Pleistocene</vt:lpstr>
      <vt:lpstr>Diet_40_Holocene</vt:lpstr>
      <vt:lpstr>Diet_50_Pleistocene</vt:lpstr>
      <vt:lpstr>Diet_50_Holocene</vt:lpstr>
      <vt:lpstr>Diet_60_Pleistocene</vt:lpstr>
      <vt:lpstr>Diet_60_Holocene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Vidal Cordasco, Marco Adolfo</cp:lastModifiedBy>
  <dcterms:created xsi:type="dcterms:W3CDTF">2015-06-05T18:19:34Z</dcterms:created>
  <dcterms:modified xsi:type="dcterms:W3CDTF">2026-03-28T17:43:37Z</dcterms:modified>
</cp:coreProperties>
</file>